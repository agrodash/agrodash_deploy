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C39C7F492E3477/Documentos/"/>
    </mc:Choice>
  </mc:AlternateContent>
  <xr:revisionPtr revIDLastSave="704" documentId="8_{55AE0DB4-6464-4159-BD9B-4F8515C48D2F}" xr6:coauthVersionLast="47" xr6:coauthVersionMax="47" xr10:uidLastSave="{D2A944BF-911A-46A4-8E46-2A2A1EFCD8CA}"/>
  <bookViews>
    <workbookView xWindow="-108" yWindow="-108" windowWidth="23256" windowHeight="12456" activeTab="2" xr2:uid="{8FB0D7E8-ADCD-4EC5-BEE0-FB00B4832C3D}"/>
  </bookViews>
  <sheets>
    <sheet name="Dados Básicos" sheetId="11" r:id="rId1"/>
    <sheet name="Dados de Prod" sheetId="12" r:id="rId2"/>
    <sheet name="Dados de Faturamento" sheetId="13" r:id="rId3"/>
    <sheet name="Fluxo" sheetId="3" r:id="rId4"/>
    <sheet name="PE LOTE 1" sheetId="4" r:id="rId5"/>
    <sheet name="PE GLOBAL" sheetId="9" r:id="rId6"/>
    <sheet name="Produção" sheetId="2" r:id="rId7"/>
    <sheet name="PE LOTE 2" sheetId="5" r:id="rId8"/>
    <sheet name="PE LOTE 3" sheetId="6" r:id="rId9"/>
    <sheet name="GRÁFICOS" sheetId="10" r:id="rId10"/>
  </sheets>
  <definedNames>
    <definedName name="_xlchart.v1.0" hidden="1">GRÁFICOS!$G$4:$G$16</definedName>
    <definedName name="_xlchart.v1.1" hidden="1">GRÁFICOS!$H$3</definedName>
    <definedName name="_xlchart.v1.2" hidden="1">GRÁFICOS!$H$4:$H$16</definedName>
    <definedName name="_xlchart.v1.3" hidden="1">GRÁFICOS!$G$28:$G$31</definedName>
    <definedName name="_xlchart.v1.4" hidden="1">GRÁFICOS!$H$27</definedName>
    <definedName name="_xlchart.v1.5" hidden="1">GRÁFICOS!$H$28:$H$31</definedName>
    <definedName name="_xlchart.v1.6" hidden="1">GRÁFICOS!$I$27</definedName>
    <definedName name="_xlchart.v1.7" hidden="1">GRÁFICOS!$I$28:$I$31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9" l="1"/>
  <c r="K9" i="4"/>
  <c r="X6" i="3"/>
  <c r="X5" i="3"/>
  <c r="X4" i="3"/>
  <c r="L29" i="3"/>
  <c r="L30" i="3" s="1"/>
  <c r="M29" i="3"/>
  <c r="M30" i="3" s="1"/>
  <c r="N29" i="3"/>
  <c r="N30" i="3" s="1"/>
  <c r="O29" i="3"/>
  <c r="O30" i="3" s="1"/>
  <c r="P29" i="3"/>
  <c r="P30" i="3" s="1"/>
  <c r="Q29" i="3"/>
  <c r="Q30" i="3" s="1"/>
  <c r="R29" i="3"/>
  <c r="R30" i="3" s="1"/>
  <c r="S29" i="3"/>
  <c r="S30" i="3" s="1"/>
  <c r="T29" i="3"/>
  <c r="T30" i="3" s="1"/>
  <c r="U29" i="3"/>
  <c r="U30" i="3" s="1"/>
  <c r="K29" i="3"/>
  <c r="K30" i="3" s="1"/>
  <c r="U8" i="3"/>
  <c r="T8" i="3"/>
  <c r="Y8" i="3" s="1"/>
  <c r="T9" i="13"/>
  <c r="T8" i="13"/>
  <c r="T7" i="13"/>
  <c r="S8" i="13"/>
  <c r="S9" i="13"/>
  <c r="S7" i="13"/>
  <c r="M45" i="13"/>
  <c r="M43" i="13"/>
  <c r="M44" i="13"/>
  <c r="M42" i="13"/>
  <c r="L10" i="13"/>
  <c r="L19" i="13" s="1"/>
  <c r="L28" i="13" s="1"/>
  <c r="L9" i="13"/>
  <c r="L18" i="13" s="1"/>
  <c r="L27" i="13" s="1"/>
  <c r="L8" i="13"/>
  <c r="L17" i="13" s="1"/>
  <c r="L26" i="13" s="1"/>
  <c r="O10" i="13"/>
  <c r="P10" i="13"/>
  <c r="N10" i="13"/>
  <c r="P9" i="13"/>
  <c r="O9" i="13"/>
  <c r="N9" i="13"/>
  <c r="N8" i="13"/>
  <c r="O8" i="13"/>
  <c r="M8" i="13"/>
  <c r="M19" i="13"/>
  <c r="M28" i="13" s="1"/>
  <c r="M18" i="13"/>
  <c r="M27" i="13" s="1"/>
  <c r="J67" i="12"/>
  <c r="K67" i="12"/>
  <c r="L67" i="12"/>
  <c r="M67" i="12"/>
  <c r="N67" i="12"/>
  <c r="O67" i="12"/>
  <c r="P67" i="12"/>
  <c r="Q67" i="12"/>
  <c r="R67" i="12"/>
  <c r="S67" i="12"/>
  <c r="I67" i="12"/>
  <c r="J66" i="12"/>
  <c r="K66" i="12"/>
  <c r="L66" i="12"/>
  <c r="L68" i="12" s="1"/>
  <c r="M66" i="12"/>
  <c r="N66" i="12"/>
  <c r="O66" i="12"/>
  <c r="P66" i="12"/>
  <c r="Q66" i="12"/>
  <c r="R66" i="12"/>
  <c r="S66" i="12"/>
  <c r="I66" i="12"/>
  <c r="J65" i="12"/>
  <c r="K65" i="12"/>
  <c r="L65" i="12"/>
  <c r="M65" i="12"/>
  <c r="N65" i="12"/>
  <c r="O65" i="12"/>
  <c r="P65" i="12"/>
  <c r="Q65" i="12"/>
  <c r="R65" i="12"/>
  <c r="S65" i="12"/>
  <c r="I65" i="12"/>
  <c r="J64" i="12"/>
  <c r="K64" i="12"/>
  <c r="L64" i="12"/>
  <c r="M64" i="12"/>
  <c r="N64" i="12"/>
  <c r="O64" i="12"/>
  <c r="P64" i="12"/>
  <c r="Q64" i="12"/>
  <c r="R64" i="12"/>
  <c r="S64" i="12"/>
  <c r="I64" i="12"/>
  <c r="J63" i="12"/>
  <c r="K63" i="12"/>
  <c r="L63" i="12"/>
  <c r="M63" i="12"/>
  <c r="N63" i="12"/>
  <c r="O63" i="12"/>
  <c r="P63" i="12"/>
  <c r="Q63" i="12"/>
  <c r="R63" i="12"/>
  <c r="S63" i="12"/>
  <c r="I63" i="12"/>
  <c r="S68" i="12"/>
  <c r="R68" i="12"/>
  <c r="Q68" i="12"/>
  <c r="P68" i="12"/>
  <c r="O68" i="12"/>
  <c r="N68" i="12"/>
  <c r="M68" i="12"/>
  <c r="K68" i="12"/>
  <c r="J68" i="12"/>
  <c r="J54" i="12"/>
  <c r="K54" i="12"/>
  <c r="L54" i="12"/>
  <c r="M54" i="12"/>
  <c r="N54" i="12"/>
  <c r="O54" i="12"/>
  <c r="P54" i="12"/>
  <c r="Q54" i="12"/>
  <c r="R54" i="12"/>
  <c r="S54" i="12"/>
  <c r="I54" i="12"/>
  <c r="J55" i="12"/>
  <c r="K55" i="12"/>
  <c r="L55" i="12"/>
  <c r="M55" i="12"/>
  <c r="N55" i="12"/>
  <c r="O55" i="12"/>
  <c r="P55" i="12"/>
  <c r="Q55" i="12"/>
  <c r="R55" i="12"/>
  <c r="S55" i="12"/>
  <c r="I55" i="12"/>
  <c r="R58" i="12"/>
  <c r="Q58" i="12"/>
  <c r="P58" i="12"/>
  <c r="O58" i="12"/>
  <c r="N58" i="12"/>
  <c r="M58" i="12"/>
  <c r="L58" i="12"/>
  <c r="K58" i="12"/>
  <c r="J58" i="12"/>
  <c r="I58" i="12"/>
  <c r="S57" i="12"/>
  <c r="R57" i="12"/>
  <c r="Q57" i="12"/>
  <c r="P57" i="12"/>
  <c r="O57" i="12"/>
  <c r="N57" i="12"/>
  <c r="M57" i="12"/>
  <c r="L57" i="12"/>
  <c r="K57" i="12"/>
  <c r="J57" i="12"/>
  <c r="I57" i="12"/>
  <c r="S56" i="12"/>
  <c r="R56" i="12"/>
  <c r="Q56" i="12"/>
  <c r="P56" i="12"/>
  <c r="O56" i="12"/>
  <c r="N56" i="12"/>
  <c r="M56" i="12"/>
  <c r="L56" i="12"/>
  <c r="K56" i="12"/>
  <c r="J56" i="12"/>
  <c r="I56" i="12"/>
  <c r="U32" i="12"/>
  <c r="U31" i="12"/>
  <c r="U30" i="12"/>
  <c r="U29" i="12"/>
  <c r="U28" i="12"/>
  <c r="U27" i="12"/>
  <c r="U26" i="12"/>
  <c r="U25" i="12"/>
  <c r="U24" i="12"/>
  <c r="P38" i="12"/>
  <c r="O38" i="12"/>
  <c r="N38" i="12"/>
  <c r="M38" i="12"/>
  <c r="L38" i="12"/>
  <c r="K38" i="12"/>
  <c r="J38" i="12"/>
  <c r="I38" i="12"/>
  <c r="Q37" i="12"/>
  <c r="P37" i="12"/>
  <c r="O37" i="12"/>
  <c r="N37" i="12"/>
  <c r="M37" i="12"/>
  <c r="L37" i="12"/>
  <c r="K37" i="12"/>
  <c r="J37" i="12"/>
  <c r="I37" i="12"/>
  <c r="Q36" i="12"/>
  <c r="P36" i="12"/>
  <c r="O36" i="12"/>
  <c r="N36" i="12"/>
  <c r="M36" i="12"/>
  <c r="L36" i="12"/>
  <c r="K36" i="12"/>
  <c r="J36" i="12"/>
  <c r="I36" i="12"/>
  <c r="L30" i="12"/>
  <c r="M30" i="12" s="1"/>
  <c r="N30" i="12" s="1"/>
  <c r="O30" i="12" s="1"/>
  <c r="P30" i="12" s="1"/>
  <c r="K30" i="12"/>
  <c r="K29" i="12"/>
  <c r="L29" i="12" s="1"/>
  <c r="M29" i="12" s="1"/>
  <c r="N29" i="12" s="1"/>
  <c r="O29" i="12" s="1"/>
  <c r="P29" i="12" s="1"/>
  <c r="Q29" i="12" s="1"/>
  <c r="K28" i="12"/>
  <c r="L28" i="12" s="1"/>
  <c r="M28" i="12" s="1"/>
  <c r="N28" i="12" s="1"/>
  <c r="O28" i="12" s="1"/>
  <c r="P28" i="12" s="1"/>
  <c r="Q28" i="12" s="1"/>
  <c r="J30" i="12"/>
  <c r="J29" i="12"/>
  <c r="J28" i="12"/>
  <c r="I29" i="12"/>
  <c r="I30" i="12"/>
  <c r="I28" i="12"/>
  <c r="M10" i="12"/>
  <c r="N10" i="12" s="1"/>
  <c r="M9" i="12"/>
  <c r="N9" i="12" s="1"/>
  <c r="M8" i="12"/>
  <c r="N8" i="12" s="1"/>
  <c r="D5" i="2"/>
  <c r="C3" i="2"/>
  <c r="C4" i="2"/>
  <c r="H55" i="10"/>
  <c r="H5" i="10"/>
  <c r="H6" i="10"/>
  <c r="H7" i="10"/>
  <c r="H8" i="10"/>
  <c r="H9" i="10"/>
  <c r="H10" i="10"/>
  <c r="H11" i="10"/>
  <c r="H12" i="10"/>
  <c r="H13" i="10"/>
  <c r="H14" i="10"/>
  <c r="H15" i="10"/>
  <c r="H16" i="10"/>
  <c r="H4" i="10"/>
  <c r="R9" i="9"/>
  <c r="H11" i="6"/>
  <c r="I6" i="6"/>
  <c r="J6" i="6"/>
  <c r="K6" i="6"/>
  <c r="L6" i="6"/>
  <c r="M6" i="6"/>
  <c r="N6" i="6"/>
  <c r="O6" i="6"/>
  <c r="P6" i="6"/>
  <c r="Q6" i="6"/>
  <c r="H6" i="6"/>
  <c r="Q35" i="6"/>
  <c r="P35" i="6"/>
  <c r="O35" i="6"/>
  <c r="N35" i="6"/>
  <c r="M35" i="6"/>
  <c r="L35" i="6"/>
  <c r="K35" i="6"/>
  <c r="J35" i="6"/>
  <c r="I35" i="6"/>
  <c r="H35" i="6"/>
  <c r="O15" i="6"/>
  <c r="N15" i="6"/>
  <c r="M15" i="6"/>
  <c r="L15" i="6"/>
  <c r="K15" i="6"/>
  <c r="J15" i="6"/>
  <c r="I15" i="6"/>
  <c r="H15" i="6"/>
  <c r="H13" i="6"/>
  <c r="H10" i="6"/>
  <c r="Q8" i="6"/>
  <c r="Q13" i="6" s="1"/>
  <c r="Q16" i="6" s="1"/>
  <c r="Q21" i="6" s="1"/>
  <c r="P8" i="6"/>
  <c r="P13" i="6" s="1"/>
  <c r="P16" i="6" s="1"/>
  <c r="P21" i="6" s="1"/>
  <c r="O8" i="6"/>
  <c r="O13" i="6" s="1"/>
  <c r="N8" i="6"/>
  <c r="N13" i="6" s="1"/>
  <c r="M8" i="6"/>
  <c r="M13" i="6" s="1"/>
  <c r="L8" i="6"/>
  <c r="L13" i="6" s="1"/>
  <c r="K8" i="6"/>
  <c r="K13" i="6" s="1"/>
  <c r="J8" i="6"/>
  <c r="J13" i="6" s="1"/>
  <c r="I8" i="6"/>
  <c r="I13" i="6" s="1"/>
  <c r="H11" i="5"/>
  <c r="I6" i="5"/>
  <c r="J6" i="5"/>
  <c r="K6" i="5"/>
  <c r="L6" i="5"/>
  <c r="M6" i="5"/>
  <c r="N6" i="5"/>
  <c r="O6" i="5"/>
  <c r="P6" i="5"/>
  <c r="Q6" i="5"/>
  <c r="R6" i="5"/>
  <c r="H6" i="5"/>
  <c r="R35" i="5"/>
  <c r="Q35" i="5"/>
  <c r="P35" i="5"/>
  <c r="O35" i="5"/>
  <c r="N35" i="5"/>
  <c r="M35" i="5"/>
  <c r="L35" i="5"/>
  <c r="K35" i="5"/>
  <c r="J35" i="5"/>
  <c r="I35" i="5"/>
  <c r="H35" i="5"/>
  <c r="O15" i="5"/>
  <c r="N15" i="5"/>
  <c r="M15" i="5"/>
  <c r="L15" i="5"/>
  <c r="K15" i="5"/>
  <c r="J15" i="5"/>
  <c r="I15" i="5"/>
  <c r="H15" i="5"/>
  <c r="H13" i="5"/>
  <c r="R8" i="5"/>
  <c r="R13" i="5" s="1"/>
  <c r="R16" i="5" s="1"/>
  <c r="R21" i="5" s="1"/>
  <c r="Q8" i="5"/>
  <c r="Q13" i="5" s="1"/>
  <c r="Q16" i="5" s="1"/>
  <c r="Q21" i="5" s="1"/>
  <c r="P8" i="5"/>
  <c r="P13" i="5" s="1"/>
  <c r="P16" i="5" s="1"/>
  <c r="P21" i="5" s="1"/>
  <c r="O8" i="5"/>
  <c r="O13" i="5" s="1"/>
  <c r="N8" i="5"/>
  <c r="N13" i="5" s="1"/>
  <c r="M8" i="5"/>
  <c r="M13" i="5" s="1"/>
  <c r="L8" i="5"/>
  <c r="L13" i="5" s="1"/>
  <c r="K8" i="5"/>
  <c r="K13" i="5" s="1"/>
  <c r="J8" i="5"/>
  <c r="J13" i="5" s="1"/>
  <c r="I8" i="5"/>
  <c r="I13" i="5" s="1"/>
  <c r="L6" i="4"/>
  <c r="M6" i="4"/>
  <c r="N6" i="4"/>
  <c r="O6" i="4"/>
  <c r="P6" i="4"/>
  <c r="Q6" i="4"/>
  <c r="R6" i="4"/>
  <c r="S6" i="4"/>
  <c r="T6" i="4"/>
  <c r="U6" i="4"/>
  <c r="K6" i="4"/>
  <c r="L15" i="4"/>
  <c r="M15" i="4"/>
  <c r="N15" i="4"/>
  <c r="O15" i="4"/>
  <c r="P15" i="4"/>
  <c r="Q15" i="4"/>
  <c r="R15" i="4"/>
  <c r="K15" i="4"/>
  <c r="K11" i="4"/>
  <c r="K10" i="4" s="1"/>
  <c r="R35" i="4"/>
  <c r="S35" i="4"/>
  <c r="T35" i="4"/>
  <c r="U35" i="4"/>
  <c r="Q35" i="4"/>
  <c r="P35" i="4"/>
  <c r="O35" i="4"/>
  <c r="N35" i="4"/>
  <c r="M35" i="4"/>
  <c r="L35" i="4"/>
  <c r="K35" i="4"/>
  <c r="U14" i="3"/>
  <c r="T14" i="3"/>
  <c r="S14" i="3"/>
  <c r="R14" i="3"/>
  <c r="Q14" i="3"/>
  <c r="P14" i="3"/>
  <c r="O14" i="3"/>
  <c r="N14" i="3"/>
  <c r="M14" i="3"/>
  <c r="L14" i="3"/>
  <c r="K14" i="3"/>
  <c r="S6" i="3"/>
  <c r="R6" i="3"/>
  <c r="Q6" i="3"/>
  <c r="P6" i="3"/>
  <c r="N6" i="3"/>
  <c r="M6" i="3"/>
  <c r="L6" i="3"/>
  <c r="K6" i="3"/>
  <c r="AB18" i="2"/>
  <c r="AB27" i="2" s="1"/>
  <c r="AC18" i="2"/>
  <c r="AC27" i="2" s="1"/>
  <c r="AD18" i="2"/>
  <c r="AD27" i="2" s="1"/>
  <c r="AE18" i="2"/>
  <c r="AE27" i="2" s="1"/>
  <c r="AF18" i="2"/>
  <c r="AF27" i="2" s="1"/>
  <c r="AG18" i="2"/>
  <c r="AG27" i="2" s="1"/>
  <c r="AH18" i="2"/>
  <c r="AH27" i="2" s="1"/>
  <c r="AI18" i="2"/>
  <c r="AI27" i="2" s="1"/>
  <c r="AJ18" i="2"/>
  <c r="AJ27" i="2" s="1"/>
  <c r="AA18" i="2"/>
  <c r="AA27" i="2" s="1"/>
  <c r="AB17" i="2"/>
  <c r="AB26" i="2" s="1"/>
  <c r="AC17" i="2"/>
  <c r="AC26" i="2" s="1"/>
  <c r="AD17" i="2"/>
  <c r="AD26" i="2" s="1"/>
  <c r="AE17" i="2"/>
  <c r="AE26" i="2" s="1"/>
  <c r="AF17" i="2"/>
  <c r="AF26" i="2" s="1"/>
  <c r="AG17" i="2"/>
  <c r="AG26" i="2" s="1"/>
  <c r="AH17" i="2"/>
  <c r="AH26" i="2" s="1"/>
  <c r="AI17" i="2"/>
  <c r="AI26" i="2" s="1"/>
  <c r="AJ17" i="2"/>
  <c r="AJ26" i="2" s="1"/>
  <c r="AK17" i="2"/>
  <c r="AK26" i="2" s="1"/>
  <c r="AA17" i="2"/>
  <c r="AA26" i="2" s="1"/>
  <c r="AB16" i="2"/>
  <c r="AB25" i="2" s="1"/>
  <c r="AB28" i="2" s="1"/>
  <c r="AC16" i="2"/>
  <c r="AC25" i="2" s="1"/>
  <c r="AC28" i="2" s="1"/>
  <c r="AD16" i="2"/>
  <c r="AD25" i="2" s="1"/>
  <c r="AD28" i="2" s="1"/>
  <c r="AE16" i="2"/>
  <c r="AE25" i="2" s="1"/>
  <c r="AE28" i="2" s="1"/>
  <c r="AF16" i="2"/>
  <c r="AF25" i="2" s="1"/>
  <c r="AF28" i="2" s="1"/>
  <c r="AG16" i="2"/>
  <c r="AG25" i="2" s="1"/>
  <c r="AG28" i="2" s="1"/>
  <c r="AH16" i="2"/>
  <c r="AH25" i="2" s="1"/>
  <c r="AH28" i="2" s="1"/>
  <c r="AI16" i="2"/>
  <c r="AI25" i="2" s="1"/>
  <c r="AI28" i="2" s="1"/>
  <c r="AJ16" i="2"/>
  <c r="AJ25" i="2" s="1"/>
  <c r="AJ28" i="2" s="1"/>
  <c r="AK16" i="2"/>
  <c r="AK25" i="2" s="1"/>
  <c r="AK28" i="2" s="1"/>
  <c r="AA16" i="2"/>
  <c r="AA25" i="2" s="1"/>
  <c r="S6" i="2"/>
  <c r="T6" i="2" s="1"/>
  <c r="S7" i="2"/>
  <c r="T7" i="2" s="1"/>
  <c r="H19" i="6" s="1"/>
  <c r="P50" i="2"/>
  <c r="P49" i="2"/>
  <c r="O23" i="2"/>
  <c r="O24" i="2"/>
  <c r="O22" i="2"/>
  <c r="D4" i="2" s="1"/>
  <c r="S5" i="2"/>
  <c r="T5" i="2" s="1"/>
  <c r="K19" i="4" s="1"/>
  <c r="M16" i="4" l="1"/>
  <c r="M21" i="4" s="1"/>
  <c r="P16" i="4"/>
  <c r="P21" i="4" s="1"/>
  <c r="H56" i="10"/>
  <c r="Y5" i="3"/>
  <c r="T10" i="13"/>
  <c r="N19" i="13"/>
  <c r="N18" i="13"/>
  <c r="M17" i="13"/>
  <c r="I68" i="12"/>
  <c r="H16" i="5"/>
  <c r="H21" i="5" s="1"/>
  <c r="H19" i="5"/>
  <c r="J5" i="3"/>
  <c r="J3" i="3" s="1"/>
  <c r="AA28" i="2"/>
  <c r="H54" i="10"/>
  <c r="P23" i="2"/>
  <c r="O31" i="2"/>
  <c r="H17" i="10"/>
  <c r="I4" i="10" s="1"/>
  <c r="H14" i="6"/>
  <c r="H18" i="6" s="1"/>
  <c r="K14" i="4"/>
  <c r="H14" i="5"/>
  <c r="L14" i="6"/>
  <c r="O14" i="4"/>
  <c r="L14" i="5"/>
  <c r="K14" i="6"/>
  <c r="K14" i="5"/>
  <c r="N14" i="4"/>
  <c r="J14" i="6"/>
  <c r="M14" i="4"/>
  <c r="J14" i="5"/>
  <c r="I14" i="5"/>
  <c r="L14" i="4"/>
  <c r="I14" i="6"/>
  <c r="U14" i="4"/>
  <c r="Q14" i="6"/>
  <c r="R14" i="5"/>
  <c r="T14" i="4"/>
  <c r="Q14" i="5"/>
  <c r="P14" i="6"/>
  <c r="P18" i="6" s="1"/>
  <c r="S14" i="4"/>
  <c r="R14" i="4"/>
  <c r="O14" i="6"/>
  <c r="O14" i="5"/>
  <c r="P14" i="5"/>
  <c r="Q14" i="4"/>
  <c r="N14" i="6"/>
  <c r="N14" i="5"/>
  <c r="M14" i="6"/>
  <c r="P14" i="4"/>
  <c r="M14" i="5"/>
  <c r="H16" i="6"/>
  <c r="P26" i="6"/>
  <c r="P18" i="9" s="1"/>
  <c r="H25" i="6"/>
  <c r="H26" i="6"/>
  <c r="O16" i="6"/>
  <c r="O21" i="6" s="1"/>
  <c r="N16" i="6"/>
  <c r="N21" i="6" s="1"/>
  <c r="M16" i="6"/>
  <c r="M21" i="6" s="1"/>
  <c r="L16" i="6"/>
  <c r="L21" i="6" s="1"/>
  <c r="K16" i="6"/>
  <c r="K21" i="6" s="1"/>
  <c r="J16" i="6"/>
  <c r="J21" i="6" s="1"/>
  <c r="I16" i="6"/>
  <c r="I21" i="6" s="1"/>
  <c r="H10" i="5"/>
  <c r="H12" i="5"/>
  <c r="H22" i="5"/>
  <c r="I11" i="5"/>
  <c r="H25" i="5"/>
  <c r="N16" i="5"/>
  <c r="N21" i="5" s="1"/>
  <c r="I16" i="5"/>
  <c r="I21" i="5" s="1"/>
  <c r="O16" i="5"/>
  <c r="O21" i="5" s="1"/>
  <c r="M16" i="5"/>
  <c r="M21" i="5" s="1"/>
  <c r="J16" i="5"/>
  <c r="J21" i="5" s="1"/>
  <c r="L16" i="5"/>
  <c r="L21" i="5" s="1"/>
  <c r="K16" i="5"/>
  <c r="K21" i="5" s="1"/>
  <c r="K25" i="4"/>
  <c r="O6" i="3"/>
  <c r="S32" i="3"/>
  <c r="S31" i="3"/>
  <c r="S28" i="3" s="1"/>
  <c r="R31" i="3"/>
  <c r="R32" i="3"/>
  <c r="Q32" i="3"/>
  <c r="Q31" i="3"/>
  <c r="P32" i="3"/>
  <c r="P31" i="3"/>
  <c r="O32" i="3"/>
  <c r="O31" i="3"/>
  <c r="N32" i="3"/>
  <c r="N31" i="3"/>
  <c r="N28" i="3" s="1"/>
  <c r="M31" i="3"/>
  <c r="M32" i="3"/>
  <c r="L32" i="3"/>
  <c r="L31" i="3"/>
  <c r="K32" i="3"/>
  <c r="K31" i="3"/>
  <c r="P24" i="2"/>
  <c r="O32" i="2"/>
  <c r="P22" i="2"/>
  <c r="O30" i="2"/>
  <c r="Q24" i="2"/>
  <c r="P32" i="2"/>
  <c r="N16" i="4" l="1"/>
  <c r="N21" i="4" s="1"/>
  <c r="J33" i="3"/>
  <c r="Y4" i="3"/>
  <c r="S33" i="3"/>
  <c r="N33" i="3"/>
  <c r="Q28" i="3"/>
  <c r="H26" i="5"/>
  <c r="H17" i="9" s="1"/>
  <c r="H18" i="5"/>
  <c r="L26" i="6"/>
  <c r="L18" i="6"/>
  <c r="K26" i="6"/>
  <c r="K18" i="9" s="1"/>
  <c r="K18" i="6"/>
  <c r="O26" i="6"/>
  <c r="O18" i="9" s="1"/>
  <c r="O18" i="6"/>
  <c r="N26" i="6"/>
  <c r="N18" i="9" s="1"/>
  <c r="N18" i="6"/>
  <c r="M18" i="6"/>
  <c r="M26" i="6"/>
  <c r="J26" i="6"/>
  <c r="J18" i="9" s="1"/>
  <c r="J18" i="6"/>
  <c r="I18" i="6"/>
  <c r="I26" i="6"/>
  <c r="I18" i="9" s="1"/>
  <c r="Q26" i="6"/>
  <c r="Q18" i="9" s="1"/>
  <c r="Q18" i="6"/>
  <c r="R18" i="5"/>
  <c r="R26" i="5"/>
  <c r="R17" i="9" s="1"/>
  <c r="O19" i="13"/>
  <c r="N28" i="13"/>
  <c r="O18" i="13"/>
  <c r="N27" i="13"/>
  <c r="N17" i="13"/>
  <c r="M26" i="13"/>
  <c r="E4" i="2"/>
  <c r="E5" i="2" s="1"/>
  <c r="O18" i="4"/>
  <c r="O26" i="4"/>
  <c r="L26" i="5"/>
  <c r="L17" i="9" s="1"/>
  <c r="L18" i="5"/>
  <c r="K26" i="5"/>
  <c r="K17" i="9" s="1"/>
  <c r="K18" i="5"/>
  <c r="J26" i="5"/>
  <c r="J17" i="9" s="1"/>
  <c r="J18" i="5"/>
  <c r="I26" i="5"/>
  <c r="I17" i="9" s="1"/>
  <c r="S17" i="9" s="1"/>
  <c r="I18" i="5"/>
  <c r="Q26" i="5"/>
  <c r="Q17" i="9" s="1"/>
  <c r="Q18" i="5"/>
  <c r="O26" i="5"/>
  <c r="O18" i="5"/>
  <c r="P18" i="5"/>
  <c r="P26" i="5"/>
  <c r="P17" i="9" s="1"/>
  <c r="N18" i="5"/>
  <c r="N26" i="5"/>
  <c r="M26" i="5"/>
  <c r="M18" i="5"/>
  <c r="H17" i="5"/>
  <c r="H24" i="5"/>
  <c r="H37" i="5" s="1"/>
  <c r="Q23" i="2"/>
  <c r="P31" i="2"/>
  <c r="H28" i="10"/>
  <c r="O17" i="9"/>
  <c r="L18" i="9"/>
  <c r="N17" i="9"/>
  <c r="M17" i="9"/>
  <c r="M18" i="9"/>
  <c r="J34" i="3"/>
  <c r="I16" i="10"/>
  <c r="I15" i="10"/>
  <c r="I14" i="10"/>
  <c r="I13" i="10"/>
  <c r="I12" i="10"/>
  <c r="I11" i="10"/>
  <c r="I10" i="10"/>
  <c r="I9" i="10"/>
  <c r="I8" i="10"/>
  <c r="I7" i="10"/>
  <c r="I6" i="10"/>
  <c r="I5" i="10"/>
  <c r="N18" i="4"/>
  <c r="N26" i="4"/>
  <c r="K16" i="9" s="1"/>
  <c r="M18" i="4"/>
  <c r="M26" i="4"/>
  <c r="J16" i="9" s="1"/>
  <c r="P18" i="4"/>
  <c r="P26" i="4"/>
  <c r="M16" i="9" s="1"/>
  <c r="H12" i="6"/>
  <c r="H21" i="6"/>
  <c r="H18" i="9" s="1"/>
  <c r="H28" i="6"/>
  <c r="H30" i="6" s="1"/>
  <c r="I12" i="5"/>
  <c r="I10" i="5"/>
  <c r="H28" i="5"/>
  <c r="H30" i="5" s="1"/>
  <c r="L28" i="3"/>
  <c r="P28" i="3"/>
  <c r="R28" i="3"/>
  <c r="M28" i="3"/>
  <c r="O28" i="3"/>
  <c r="P30" i="2"/>
  <c r="Q22" i="2"/>
  <c r="R24" i="2"/>
  <c r="Q32" i="2"/>
  <c r="O16" i="4" l="1"/>
  <c r="O21" i="4" s="1"/>
  <c r="L16" i="9" s="1"/>
  <c r="Q16" i="4"/>
  <c r="Q21" i="4" s="1"/>
  <c r="Q18" i="4"/>
  <c r="Q26" i="4"/>
  <c r="N16" i="9" s="1"/>
  <c r="Q33" i="3"/>
  <c r="L33" i="3"/>
  <c r="P33" i="3"/>
  <c r="R33" i="3"/>
  <c r="M33" i="3"/>
  <c r="O33" i="3"/>
  <c r="H29" i="10"/>
  <c r="K28" i="3"/>
  <c r="S18" i="9"/>
  <c r="O28" i="13"/>
  <c r="P19" i="13"/>
  <c r="O27" i="13"/>
  <c r="P18" i="13"/>
  <c r="N26" i="13"/>
  <c r="O17" i="13"/>
  <c r="F4" i="2"/>
  <c r="F5" i="2" s="1"/>
  <c r="Q31" i="2"/>
  <c r="R23" i="2"/>
  <c r="H22" i="6"/>
  <c r="I11" i="6"/>
  <c r="H31" i="6"/>
  <c r="I19" i="6"/>
  <c r="H32" i="6"/>
  <c r="J11" i="5"/>
  <c r="I22" i="5"/>
  <c r="I24" i="5" s="1"/>
  <c r="I37" i="5" s="1"/>
  <c r="H38" i="5"/>
  <c r="H31" i="5"/>
  <c r="H29" i="5"/>
  <c r="I19" i="5"/>
  <c r="H32" i="5"/>
  <c r="Q30" i="2"/>
  <c r="R22" i="2"/>
  <c r="R32" i="2"/>
  <c r="S24" i="2"/>
  <c r="R18" i="4" l="1"/>
  <c r="R26" i="4"/>
  <c r="R16" i="4"/>
  <c r="R21" i="4" s="1"/>
  <c r="K33" i="3"/>
  <c r="K34" i="3" s="1"/>
  <c r="L34" i="3" s="1"/>
  <c r="M34" i="3" s="1"/>
  <c r="N34" i="3" s="1"/>
  <c r="O34" i="3" s="1"/>
  <c r="P34" i="3" s="1"/>
  <c r="Q34" i="3" s="1"/>
  <c r="R34" i="3" s="1"/>
  <c r="S34" i="3" s="1"/>
  <c r="P28" i="13"/>
  <c r="L35" i="13"/>
  <c r="P35" i="13" s="1"/>
  <c r="L34" i="13"/>
  <c r="P34" i="13" s="1"/>
  <c r="P27" i="13"/>
  <c r="O26" i="13"/>
  <c r="L33" i="13"/>
  <c r="P33" i="13" s="1"/>
  <c r="P36" i="13"/>
  <c r="G4" i="2"/>
  <c r="G5" i="2" s="1"/>
  <c r="R31" i="2"/>
  <c r="S23" i="2"/>
  <c r="H36" i="5"/>
  <c r="H8" i="9"/>
  <c r="H24" i="6"/>
  <c r="H17" i="6"/>
  <c r="I10" i="6"/>
  <c r="I12" i="6"/>
  <c r="I25" i="6"/>
  <c r="J12" i="5"/>
  <c r="J10" i="5"/>
  <c r="H40" i="5"/>
  <c r="H41" i="5" s="1"/>
  <c r="H42" i="5" s="1"/>
  <c r="H39" i="5"/>
  <c r="I25" i="5"/>
  <c r="I17" i="5"/>
  <c r="R30" i="2"/>
  <c r="S22" i="2"/>
  <c r="S32" i="2"/>
  <c r="T24" i="2"/>
  <c r="S18" i="4" l="1"/>
  <c r="S26" i="4"/>
  <c r="S16" i="4"/>
  <c r="S21" i="4" s="1"/>
  <c r="O16" i="9"/>
  <c r="H4" i="2"/>
  <c r="H5" i="2" s="1"/>
  <c r="S31" i="2"/>
  <c r="T23" i="2"/>
  <c r="H29" i="6"/>
  <c r="H37" i="6"/>
  <c r="H38" i="6" s="1"/>
  <c r="J11" i="6"/>
  <c r="I22" i="6"/>
  <c r="I28" i="6"/>
  <c r="I30" i="6" s="1"/>
  <c r="J22" i="5"/>
  <c r="J24" i="5" s="1"/>
  <c r="J37" i="5" s="1"/>
  <c r="K11" i="5"/>
  <c r="I28" i="5"/>
  <c r="I30" i="5" s="1"/>
  <c r="S30" i="2"/>
  <c r="T22" i="2"/>
  <c r="T32" i="2"/>
  <c r="U24" i="2"/>
  <c r="T26" i="4" l="1"/>
  <c r="T18" i="4"/>
  <c r="T16" i="4"/>
  <c r="T21" i="4" s="1"/>
  <c r="U26" i="4"/>
  <c r="U18" i="4"/>
  <c r="U16" i="4"/>
  <c r="U21" i="4" s="1"/>
  <c r="P16" i="9"/>
  <c r="I4" i="2"/>
  <c r="I5" i="2" s="1"/>
  <c r="T31" i="2"/>
  <c r="U23" i="2"/>
  <c r="H36" i="6"/>
  <c r="H9" i="9"/>
  <c r="H39" i="6"/>
  <c r="H40" i="6"/>
  <c r="H41" i="6" s="1"/>
  <c r="H42" i="6" s="1"/>
  <c r="J12" i="6"/>
  <c r="J10" i="6"/>
  <c r="I17" i="6"/>
  <c r="I24" i="6"/>
  <c r="I31" i="6"/>
  <c r="I32" i="6"/>
  <c r="J19" i="6"/>
  <c r="K12" i="5"/>
  <c r="K10" i="5"/>
  <c r="I38" i="5"/>
  <c r="I31" i="5"/>
  <c r="I29" i="5"/>
  <c r="I32" i="5"/>
  <c r="J19" i="5"/>
  <c r="T30" i="2"/>
  <c r="U22" i="2"/>
  <c r="U32" i="2"/>
  <c r="V24" i="2"/>
  <c r="Q16" i="9" l="1"/>
  <c r="R16" i="9"/>
  <c r="J4" i="2"/>
  <c r="J5" i="2" s="1"/>
  <c r="U31" i="2"/>
  <c r="V23" i="2"/>
  <c r="I37" i="6"/>
  <c r="I38" i="6" s="1"/>
  <c r="I29" i="6"/>
  <c r="I36" i="5"/>
  <c r="I8" i="9"/>
  <c r="K11" i="6"/>
  <c r="J22" i="6"/>
  <c r="J25" i="6"/>
  <c r="L11" i="5"/>
  <c r="K22" i="5"/>
  <c r="K24" i="5" s="1"/>
  <c r="K37" i="5" s="1"/>
  <c r="I39" i="5"/>
  <c r="I40" i="5"/>
  <c r="I41" i="5" s="1"/>
  <c r="I42" i="5" s="1"/>
  <c r="J25" i="5"/>
  <c r="J17" i="5"/>
  <c r="U30" i="2"/>
  <c r="V22" i="2"/>
  <c r="V32" i="2"/>
  <c r="O39" i="2"/>
  <c r="I39" i="6" l="1"/>
  <c r="I40" i="6"/>
  <c r="I41" i="6" s="1"/>
  <c r="I42" i="6" s="1"/>
  <c r="I9" i="9"/>
  <c r="I36" i="6"/>
  <c r="K4" i="2"/>
  <c r="K5" i="2" s="1"/>
  <c r="V31" i="2"/>
  <c r="W23" i="2"/>
  <c r="J24" i="6"/>
  <c r="J37" i="6" s="1"/>
  <c r="J17" i="6"/>
  <c r="K10" i="6"/>
  <c r="K12" i="6"/>
  <c r="J28" i="6"/>
  <c r="J30" i="6" s="1"/>
  <c r="L12" i="5"/>
  <c r="L10" i="5"/>
  <c r="J28" i="5"/>
  <c r="J30" i="5" s="1"/>
  <c r="P39" i="2"/>
  <c r="O48" i="2"/>
  <c r="V30" i="2"/>
  <c r="W22" i="2"/>
  <c r="L4" i="2" l="1"/>
  <c r="L5" i="2" s="1"/>
  <c r="W31" i="2"/>
  <c r="O40" i="2"/>
  <c r="K22" i="6"/>
  <c r="K24" i="6" s="1"/>
  <c r="K37" i="6" s="1"/>
  <c r="L11" i="6"/>
  <c r="J38" i="6"/>
  <c r="J31" i="6"/>
  <c r="K19" i="6"/>
  <c r="J29" i="6"/>
  <c r="J32" i="6"/>
  <c r="M11" i="5"/>
  <c r="M12" i="5" s="1"/>
  <c r="L22" i="5"/>
  <c r="L24" i="5" s="1"/>
  <c r="L37" i="5" s="1"/>
  <c r="J38" i="5"/>
  <c r="J31" i="5"/>
  <c r="J29" i="5"/>
  <c r="K19" i="5"/>
  <c r="J32" i="5"/>
  <c r="Q39" i="2"/>
  <c r="P48" i="2"/>
  <c r="W30" i="2"/>
  <c r="O41" i="2"/>
  <c r="O49" i="2" l="1"/>
  <c r="Q40" i="2"/>
  <c r="J36" i="6"/>
  <c r="J9" i="9"/>
  <c r="J36" i="5"/>
  <c r="J8" i="9"/>
  <c r="L12" i="6"/>
  <c r="L10" i="6"/>
  <c r="J39" i="6"/>
  <c r="J40" i="6"/>
  <c r="J41" i="6" s="1"/>
  <c r="J42" i="6" s="1"/>
  <c r="K25" i="6"/>
  <c r="K17" i="6"/>
  <c r="M22" i="5"/>
  <c r="M24" i="5" s="1"/>
  <c r="M37" i="5" s="1"/>
  <c r="N11" i="5"/>
  <c r="N12" i="5" s="1"/>
  <c r="J39" i="5"/>
  <c r="J40" i="5"/>
  <c r="J41" i="5" s="1"/>
  <c r="J42" i="5" s="1"/>
  <c r="K25" i="5"/>
  <c r="K17" i="5"/>
  <c r="R39" i="2"/>
  <c r="Q48" i="2"/>
  <c r="Q41" i="2"/>
  <c r="O50" i="2"/>
  <c r="Q49" i="2" l="1"/>
  <c r="R40" i="2"/>
  <c r="L22" i="6"/>
  <c r="L24" i="6" s="1"/>
  <c r="L37" i="6" s="1"/>
  <c r="M11" i="6"/>
  <c r="M12" i="6" s="1"/>
  <c r="K28" i="6"/>
  <c r="K30" i="6" s="1"/>
  <c r="O11" i="5"/>
  <c r="O12" i="5" s="1"/>
  <c r="N22" i="5"/>
  <c r="N24" i="5" s="1"/>
  <c r="N37" i="5" s="1"/>
  <c r="K28" i="5"/>
  <c r="K30" i="5" s="1"/>
  <c r="O55" i="2"/>
  <c r="S55" i="2" s="1"/>
  <c r="R48" i="2"/>
  <c r="R41" i="2"/>
  <c r="Q50" i="2"/>
  <c r="S40" i="2" l="1"/>
  <c r="R49" i="2"/>
  <c r="M22" i="6"/>
  <c r="M24" i="6" s="1"/>
  <c r="M37" i="6" s="1"/>
  <c r="N11" i="6"/>
  <c r="N12" i="6" s="1"/>
  <c r="K38" i="6"/>
  <c r="K31" i="6"/>
  <c r="K29" i="6"/>
  <c r="L19" i="6"/>
  <c r="K32" i="6"/>
  <c r="O22" i="5"/>
  <c r="O24" i="5" s="1"/>
  <c r="O37" i="5" s="1"/>
  <c r="P11" i="5"/>
  <c r="P12" i="5" s="1"/>
  <c r="K38" i="5"/>
  <c r="K31" i="5"/>
  <c r="K29" i="5"/>
  <c r="K32" i="5"/>
  <c r="L19" i="5"/>
  <c r="T6" i="3"/>
  <c r="S41" i="2"/>
  <c r="R50" i="2"/>
  <c r="O56" i="2" l="1"/>
  <c r="S56" i="2" s="1"/>
  <c r="S49" i="2"/>
  <c r="K36" i="6"/>
  <c r="K9" i="9"/>
  <c r="K36" i="5"/>
  <c r="K8" i="9"/>
  <c r="N22" i="6"/>
  <c r="N24" i="6" s="1"/>
  <c r="N37" i="6" s="1"/>
  <c r="O11" i="6"/>
  <c r="O12" i="6" s="1"/>
  <c r="K39" i="6"/>
  <c r="K40" i="6"/>
  <c r="K41" i="6" s="1"/>
  <c r="K42" i="6" s="1"/>
  <c r="L25" i="6"/>
  <c r="L17" i="6"/>
  <c r="Q11" i="5"/>
  <c r="Q12" i="5" s="1"/>
  <c r="P22" i="5"/>
  <c r="P24" i="5" s="1"/>
  <c r="P37" i="5" s="1"/>
  <c r="K39" i="5"/>
  <c r="K40" i="5"/>
  <c r="K41" i="5" s="1"/>
  <c r="K42" i="5" s="1"/>
  <c r="L25" i="5"/>
  <c r="L17" i="5"/>
  <c r="T32" i="3"/>
  <c r="T31" i="3"/>
  <c r="O57" i="2"/>
  <c r="S57" i="2" s="1"/>
  <c r="S50" i="2"/>
  <c r="U6" i="3" l="1"/>
  <c r="S58" i="2"/>
  <c r="T28" i="3"/>
  <c r="O22" i="6"/>
  <c r="O24" i="6" s="1"/>
  <c r="O37" i="6" s="1"/>
  <c r="P11" i="6"/>
  <c r="P12" i="6" s="1"/>
  <c r="L28" i="6"/>
  <c r="L30" i="6" s="1"/>
  <c r="R11" i="5"/>
  <c r="R12" i="5" s="1"/>
  <c r="R22" i="5" s="1"/>
  <c r="R24" i="5" s="1"/>
  <c r="R37" i="5" s="1"/>
  <c r="Q22" i="5"/>
  <c r="Q24" i="5" s="1"/>
  <c r="Q37" i="5" s="1"/>
  <c r="L28" i="5"/>
  <c r="L30" i="5" s="1"/>
  <c r="H58" i="10" l="1"/>
  <c r="U31" i="3"/>
  <c r="U32" i="3"/>
  <c r="H31" i="10" s="1"/>
  <c r="T33" i="3"/>
  <c r="T34" i="3" s="1"/>
  <c r="P22" i="6"/>
  <c r="P24" i="6" s="1"/>
  <c r="P37" i="6" s="1"/>
  <c r="Q11" i="6"/>
  <c r="Q12" i="6" s="1"/>
  <c r="Q22" i="6" s="1"/>
  <c r="Q24" i="6" s="1"/>
  <c r="Q37" i="6" s="1"/>
  <c r="L38" i="6"/>
  <c r="L31" i="6"/>
  <c r="L29" i="6"/>
  <c r="L32" i="6"/>
  <c r="M19" i="6"/>
  <c r="L38" i="5"/>
  <c r="L31" i="5"/>
  <c r="L29" i="5"/>
  <c r="M19" i="5"/>
  <c r="L32" i="5"/>
  <c r="H30" i="10" l="1"/>
  <c r="U28" i="3"/>
  <c r="L36" i="6"/>
  <c r="L9" i="9"/>
  <c r="L36" i="5"/>
  <c r="L8" i="9"/>
  <c r="L40" i="6"/>
  <c r="L41" i="6" s="1"/>
  <c r="L42" i="6" s="1"/>
  <c r="L39" i="6"/>
  <c r="M25" i="6"/>
  <c r="M17" i="6"/>
  <c r="L39" i="5"/>
  <c r="L40" i="5"/>
  <c r="L41" i="5" s="1"/>
  <c r="L42" i="5" s="1"/>
  <c r="M25" i="5"/>
  <c r="M17" i="5"/>
  <c r="Y6" i="3" l="1"/>
  <c r="Y7" i="3" s="1"/>
  <c r="Y9" i="3" s="1"/>
  <c r="U33" i="3"/>
  <c r="U34" i="3" s="1"/>
  <c r="H57" i="10"/>
  <c r="H59" i="10" s="1"/>
  <c r="H32" i="10"/>
  <c r="I30" i="10" s="1"/>
  <c r="M27" i="6"/>
  <c r="M28" i="6" s="1"/>
  <c r="M28" i="5"/>
  <c r="Y11" i="3" l="1"/>
  <c r="Y10" i="3"/>
  <c r="I29" i="10"/>
  <c r="I28" i="10"/>
  <c r="I31" i="10"/>
  <c r="M38" i="6"/>
  <c r="M31" i="6"/>
  <c r="N19" i="6"/>
  <c r="M29" i="6"/>
  <c r="M30" i="6"/>
  <c r="M32" i="6"/>
  <c r="M38" i="5"/>
  <c r="M31" i="5"/>
  <c r="M29" i="5"/>
  <c r="N19" i="5"/>
  <c r="M30" i="5"/>
  <c r="M32" i="5"/>
  <c r="M36" i="6" l="1"/>
  <c r="M9" i="9"/>
  <c r="M36" i="5"/>
  <c r="M8" i="9"/>
  <c r="M39" i="6"/>
  <c r="M40" i="6"/>
  <c r="M41" i="6" s="1"/>
  <c r="M42" i="6" s="1"/>
  <c r="N25" i="6"/>
  <c r="N17" i="6"/>
  <c r="M40" i="5"/>
  <c r="M41" i="5" s="1"/>
  <c r="M42" i="5" s="1"/>
  <c r="M39" i="5"/>
  <c r="N25" i="5"/>
  <c r="N17" i="5"/>
  <c r="N27" i="6" l="1"/>
  <c r="N28" i="6" s="1"/>
  <c r="N28" i="5"/>
  <c r="N38" i="6" l="1"/>
  <c r="N31" i="6"/>
  <c r="O19" i="6"/>
  <c r="N29" i="6"/>
  <c r="N30" i="6"/>
  <c r="N32" i="6"/>
  <c r="N38" i="5"/>
  <c r="N31" i="5"/>
  <c r="N29" i="5"/>
  <c r="O19" i="5"/>
  <c r="N30" i="5"/>
  <c r="N32" i="5"/>
  <c r="N36" i="6" l="1"/>
  <c r="N9" i="9"/>
  <c r="N36" i="5"/>
  <c r="N8" i="9"/>
  <c r="N39" i="6"/>
  <c r="N40" i="6"/>
  <c r="N41" i="6" s="1"/>
  <c r="N42" i="6" s="1"/>
  <c r="O25" i="6"/>
  <c r="O17" i="6"/>
  <c r="N39" i="5"/>
  <c r="N40" i="5"/>
  <c r="N41" i="5" s="1"/>
  <c r="N42" i="5" s="1"/>
  <c r="O25" i="5"/>
  <c r="O17" i="5"/>
  <c r="O27" i="6" l="1"/>
  <c r="O28" i="6" s="1"/>
  <c r="O28" i="5"/>
  <c r="O30" i="5" s="1"/>
  <c r="O38" i="6" l="1"/>
  <c r="O31" i="6"/>
  <c r="P19" i="6"/>
  <c r="O29" i="6"/>
  <c r="O30" i="6"/>
  <c r="O32" i="6"/>
  <c r="O38" i="5"/>
  <c r="O31" i="5"/>
  <c r="O29" i="5"/>
  <c r="P19" i="5"/>
  <c r="O32" i="5"/>
  <c r="O36" i="6" l="1"/>
  <c r="O9" i="9"/>
  <c r="O36" i="5"/>
  <c r="O8" i="9"/>
  <c r="O39" i="6"/>
  <c r="O40" i="6"/>
  <c r="O41" i="6" s="1"/>
  <c r="O42" i="6" s="1"/>
  <c r="P25" i="6"/>
  <c r="P17" i="6"/>
  <c r="O39" i="5"/>
  <c r="O40" i="5"/>
  <c r="O41" i="5" s="1"/>
  <c r="O42" i="5" s="1"/>
  <c r="P25" i="5"/>
  <c r="P17" i="5"/>
  <c r="P27" i="6" l="1"/>
  <c r="P28" i="6" s="1"/>
  <c r="P30" i="6" s="1"/>
  <c r="P28" i="5"/>
  <c r="P38" i="6" l="1"/>
  <c r="P31" i="6"/>
  <c r="Q19" i="6"/>
  <c r="P29" i="6"/>
  <c r="P32" i="6"/>
  <c r="P38" i="5"/>
  <c r="P31" i="5"/>
  <c r="P29" i="5"/>
  <c r="Q19" i="5"/>
  <c r="P30" i="5"/>
  <c r="P32" i="5"/>
  <c r="P36" i="6" l="1"/>
  <c r="P9" i="9"/>
  <c r="P36" i="5"/>
  <c r="P8" i="9"/>
  <c r="P39" i="6"/>
  <c r="P40" i="6"/>
  <c r="P41" i="6" s="1"/>
  <c r="P42" i="6" s="1"/>
  <c r="Q25" i="6"/>
  <c r="Q17" i="6"/>
  <c r="P39" i="5"/>
  <c r="P40" i="5"/>
  <c r="P41" i="5" s="1"/>
  <c r="P42" i="5" s="1"/>
  <c r="Q25" i="5"/>
  <c r="Q17" i="5"/>
  <c r="Q27" i="6" l="1"/>
  <c r="Q28" i="6" s="1"/>
  <c r="Q28" i="5"/>
  <c r="Q38" i="6" l="1"/>
  <c r="Q31" i="6"/>
  <c r="Q29" i="6"/>
  <c r="Q30" i="6"/>
  <c r="Q32" i="6"/>
  <c r="Q38" i="5"/>
  <c r="Q31" i="5"/>
  <c r="Q29" i="5"/>
  <c r="R19" i="5"/>
  <c r="Q30" i="5"/>
  <c r="Q32" i="5"/>
  <c r="Q36" i="6" l="1"/>
  <c r="Q9" i="9"/>
  <c r="Q36" i="5"/>
  <c r="Q8" i="9"/>
  <c r="Q39" i="6"/>
  <c r="Q40" i="6"/>
  <c r="Q41" i="6" s="1"/>
  <c r="Q42" i="6" s="1"/>
  <c r="Q39" i="5"/>
  <c r="Q40" i="5"/>
  <c r="Q41" i="5" s="1"/>
  <c r="Q42" i="5" s="1"/>
  <c r="R25" i="5"/>
  <c r="R17" i="5"/>
  <c r="R28" i="5" l="1"/>
  <c r="R38" i="5" l="1"/>
  <c r="R31" i="5"/>
  <c r="R29" i="5"/>
  <c r="R30" i="5"/>
  <c r="R32" i="5"/>
  <c r="R36" i="5" l="1"/>
  <c r="R8" i="9"/>
  <c r="R39" i="5"/>
  <c r="R40" i="5"/>
  <c r="R41" i="5" s="1"/>
  <c r="R42" i="5" s="1"/>
  <c r="L8" i="4" l="1"/>
  <c r="L9" i="4" s="1"/>
  <c r="M8" i="4" s="1"/>
  <c r="M9" i="4" s="1"/>
  <c r="N8" i="4" s="1"/>
  <c r="N9" i="4" s="1"/>
  <c r="O8" i="4" s="1"/>
  <c r="O9" i="4" s="1"/>
  <c r="P8" i="4" s="1"/>
  <c r="P9" i="4" s="1"/>
  <c r="Q8" i="4" s="1"/>
  <c r="Q9" i="4" s="1"/>
  <c r="R8" i="4" s="1"/>
  <c r="R9" i="4" s="1"/>
  <c r="S8" i="4" s="1"/>
  <c r="S9" i="4" s="1"/>
  <c r="T8" i="4" s="1"/>
  <c r="T9" i="4" s="1"/>
  <c r="U8" i="4" s="1"/>
  <c r="U9" i="4" s="1"/>
  <c r="L16" i="4"/>
  <c r="L21" i="4" s="1"/>
  <c r="I16" i="9" s="1"/>
  <c r="K16" i="4"/>
  <c r="K12" i="4" s="1"/>
  <c r="K21" i="4"/>
  <c r="K18" i="4"/>
  <c r="K26" i="4"/>
  <c r="H16" i="9" s="1"/>
  <c r="L18" i="4"/>
  <c r="L26" i="4"/>
  <c r="S16" i="9" l="1"/>
  <c r="L11" i="4"/>
  <c r="K22" i="4"/>
  <c r="K28" i="4"/>
  <c r="K31" i="4" s="1"/>
  <c r="L10" i="4" l="1"/>
  <c r="L12" i="4"/>
  <c r="K17" i="4"/>
  <c r="K24" i="4"/>
  <c r="K30" i="4"/>
  <c r="K32" i="4"/>
  <c r="L19" i="4"/>
  <c r="L22" i="4" l="1"/>
  <c r="L24" i="4" s="1"/>
  <c r="L37" i="4" s="1"/>
  <c r="M11" i="4"/>
  <c r="L25" i="4"/>
  <c r="L17" i="4"/>
  <c r="K37" i="4"/>
  <c r="K38" i="4" s="1"/>
  <c r="K29" i="4"/>
  <c r="M12" i="4" l="1"/>
  <c r="M10" i="4"/>
  <c r="L28" i="4"/>
  <c r="L30" i="4" s="1"/>
  <c r="K39" i="4"/>
  <c r="K40" i="4"/>
  <c r="K41" i="4" s="1"/>
  <c r="K42" i="4" s="1"/>
  <c r="K36" i="4"/>
  <c r="H7" i="9"/>
  <c r="M22" i="4" l="1"/>
  <c r="M24" i="4" s="1"/>
  <c r="M37" i="4" s="1"/>
  <c r="N11" i="4"/>
  <c r="L38" i="4"/>
  <c r="L32" i="4"/>
  <c r="L29" i="4"/>
  <c r="M19" i="4"/>
  <c r="L31" i="4"/>
  <c r="N12" i="4" l="1"/>
  <c r="N10" i="4"/>
  <c r="L39" i="4"/>
  <c r="L40" i="4"/>
  <c r="L41" i="4" s="1"/>
  <c r="L42" i="4" s="1"/>
  <c r="I7" i="9"/>
  <c r="L36" i="4"/>
  <c r="M17" i="4"/>
  <c r="M25" i="4"/>
  <c r="O11" i="4" l="1"/>
  <c r="N22" i="4"/>
  <c r="N24" i="4" s="1"/>
  <c r="N37" i="4" s="1"/>
  <c r="M28" i="4"/>
  <c r="M30" i="4" s="1"/>
  <c r="O12" i="4" l="1"/>
  <c r="O10" i="4"/>
  <c r="N19" i="4"/>
  <c r="M31" i="4"/>
  <c r="M32" i="4"/>
  <c r="M29" i="4"/>
  <c r="M38" i="4"/>
  <c r="P11" i="4" l="1"/>
  <c r="P12" i="4" s="1"/>
  <c r="O22" i="4"/>
  <c r="O24" i="4" s="1"/>
  <c r="O37" i="4" s="1"/>
  <c r="N25" i="4"/>
  <c r="N28" i="4" s="1"/>
  <c r="N17" i="4"/>
  <c r="J7" i="9"/>
  <c r="M36" i="4"/>
  <c r="M40" i="4"/>
  <c r="M41" i="4" s="1"/>
  <c r="M42" i="4" s="1"/>
  <c r="M39" i="4"/>
  <c r="N30" i="4" l="1"/>
  <c r="O19" i="4"/>
  <c r="N31" i="4"/>
  <c r="N38" i="4"/>
  <c r="N32" i="4"/>
  <c r="N29" i="4"/>
  <c r="Q11" i="4"/>
  <c r="Q12" i="4" s="1"/>
  <c r="P22" i="4"/>
  <c r="P24" i="4" s="1"/>
  <c r="P37" i="4" s="1"/>
  <c r="N39" i="4" l="1"/>
  <c r="N40" i="4"/>
  <c r="N41" i="4" s="1"/>
  <c r="N42" i="4" s="1"/>
  <c r="O17" i="4"/>
  <c r="O25" i="4"/>
  <c r="K7" i="9"/>
  <c r="N36" i="4"/>
  <c r="R11" i="4"/>
  <c r="R12" i="4" s="1"/>
  <c r="Q22" i="4"/>
  <c r="Q24" i="4" s="1"/>
  <c r="Q37" i="4" s="1"/>
  <c r="O28" i="4" l="1"/>
  <c r="S11" i="4"/>
  <c r="S12" i="4" s="1"/>
  <c r="R22" i="4"/>
  <c r="R24" i="4" s="1"/>
  <c r="R37" i="4" s="1"/>
  <c r="O38" i="4" l="1"/>
  <c r="O29" i="4"/>
  <c r="O32" i="4"/>
  <c r="P19" i="4"/>
  <c r="O31" i="4"/>
  <c r="O30" i="4"/>
  <c r="S22" i="4"/>
  <c r="S24" i="4" s="1"/>
  <c r="S37" i="4" s="1"/>
  <c r="T11" i="4"/>
  <c r="T12" i="4" s="1"/>
  <c r="P17" i="4" l="1"/>
  <c r="P25" i="4"/>
  <c r="P28" i="4" s="1"/>
  <c r="Q19" i="4" s="1"/>
  <c r="Q17" i="4" s="1"/>
  <c r="O39" i="4"/>
  <c r="O40" i="4"/>
  <c r="O41" i="4" s="1"/>
  <c r="O42" i="4" s="1"/>
  <c r="L7" i="9"/>
  <c r="O36" i="4"/>
  <c r="U11" i="4"/>
  <c r="U12" i="4" s="1"/>
  <c r="U22" i="4" s="1"/>
  <c r="U24" i="4" s="1"/>
  <c r="U37" i="4" s="1"/>
  <c r="T22" i="4"/>
  <c r="T24" i="4" s="1"/>
  <c r="T37" i="4" s="1"/>
  <c r="P38" i="4" l="1"/>
  <c r="P29" i="4"/>
  <c r="P31" i="4"/>
  <c r="P32" i="4"/>
  <c r="P30" i="4"/>
  <c r="P40" i="4" l="1"/>
  <c r="P41" i="4" s="1"/>
  <c r="P42" i="4" s="1"/>
  <c r="P39" i="4"/>
  <c r="P36" i="4"/>
  <c r="M7" i="9"/>
  <c r="Q25" i="4"/>
  <c r="Q28" i="4" l="1"/>
  <c r="R19" i="4" s="1"/>
  <c r="Q38" i="4" l="1"/>
  <c r="Q31" i="4"/>
  <c r="Q29" i="4"/>
  <c r="Q32" i="4"/>
  <c r="Q30" i="4"/>
  <c r="Q39" i="4" l="1"/>
  <c r="Q40" i="4"/>
  <c r="Q41" i="4" s="1"/>
  <c r="Q42" i="4" s="1"/>
  <c r="R17" i="4"/>
  <c r="R25" i="4"/>
  <c r="Q36" i="4"/>
  <c r="N7" i="9"/>
  <c r="R28" i="4" l="1"/>
  <c r="S19" i="4" s="1"/>
  <c r="R38" i="4" l="1"/>
  <c r="R31" i="4"/>
  <c r="R29" i="4"/>
  <c r="R30" i="4"/>
  <c r="R32" i="4"/>
  <c r="R40" i="4" l="1"/>
  <c r="R41" i="4" s="1"/>
  <c r="R42" i="4" s="1"/>
  <c r="R39" i="4"/>
  <c r="S25" i="4"/>
  <c r="S17" i="4"/>
  <c r="O7" i="9"/>
  <c r="R36" i="4"/>
  <c r="S28" i="4" l="1"/>
  <c r="T19" i="4" s="1"/>
  <c r="S38" i="4" l="1"/>
  <c r="S31" i="4"/>
  <c r="S29" i="4"/>
  <c r="S30" i="4"/>
  <c r="S32" i="4"/>
  <c r="S40" i="4" l="1"/>
  <c r="S41" i="4" s="1"/>
  <c r="S42" i="4" s="1"/>
  <c r="S39" i="4"/>
  <c r="T25" i="4"/>
  <c r="T17" i="4"/>
  <c r="P7" i="9"/>
  <c r="S36" i="4"/>
  <c r="T28" i="4" l="1"/>
  <c r="U19" i="4" s="1"/>
  <c r="T38" i="4" l="1"/>
  <c r="T29" i="4"/>
  <c r="T31" i="4"/>
  <c r="T30" i="4"/>
  <c r="T32" i="4"/>
  <c r="T40" i="4" l="1"/>
  <c r="T41" i="4" s="1"/>
  <c r="T42" i="4" s="1"/>
  <c r="T39" i="4"/>
  <c r="Q7" i="9"/>
  <c r="T36" i="4"/>
  <c r="U25" i="4"/>
  <c r="U17" i="4"/>
  <c r="U28" i="4" l="1"/>
  <c r="U30" i="4" s="1"/>
  <c r="U38" i="4" l="1"/>
  <c r="U31" i="4"/>
  <c r="U29" i="4"/>
  <c r="U32" i="4"/>
  <c r="U39" i="4" l="1"/>
  <c r="U40" i="4"/>
  <c r="U41" i="4" s="1"/>
  <c r="U42" i="4" s="1"/>
  <c r="R7" i="9"/>
  <c r="U36" i="4"/>
</calcChain>
</file>

<file path=xl/sharedStrings.xml><?xml version="1.0" encoding="utf-8"?>
<sst xmlns="http://schemas.openxmlformats.org/spreadsheetml/2006/main" count="830" uniqueCount="251">
  <si>
    <t>Quantidade de Animais</t>
  </si>
  <si>
    <t>Peso do Animal</t>
  </si>
  <si>
    <t>Lotação</t>
  </si>
  <si>
    <t>Lote 1</t>
  </si>
  <si>
    <t>Lote 2</t>
  </si>
  <si>
    <t>Lote 3</t>
  </si>
  <si>
    <t>Quant.</t>
  </si>
  <si>
    <t>Peso kg</t>
  </si>
  <si>
    <t>Peso @</t>
  </si>
  <si>
    <t>Valor de Compra</t>
  </si>
  <si>
    <t>Sexo</t>
  </si>
  <si>
    <t>M</t>
  </si>
  <si>
    <t>Idade (m)</t>
  </si>
  <si>
    <t>Mês 1</t>
  </si>
  <si>
    <t>Mês 0</t>
  </si>
  <si>
    <t>Dez</t>
  </si>
  <si>
    <t>Mês 2</t>
  </si>
  <si>
    <t>Mês 3</t>
  </si>
  <si>
    <t>Mês 4</t>
  </si>
  <si>
    <t>Mês 5</t>
  </si>
  <si>
    <t>Mês 6</t>
  </si>
  <si>
    <t>Jan</t>
  </si>
  <si>
    <t>Fev</t>
  </si>
  <si>
    <t>Mar</t>
  </si>
  <si>
    <t>Abr</t>
  </si>
  <si>
    <t>Mai</t>
  </si>
  <si>
    <t>inicial</t>
  </si>
  <si>
    <t>Mês 7</t>
  </si>
  <si>
    <t>Mês 8</t>
  </si>
  <si>
    <t>Jun</t>
  </si>
  <si>
    <t>Jul</t>
  </si>
  <si>
    <t>Mês 9</t>
  </si>
  <si>
    <t>Ago</t>
  </si>
  <si>
    <t>Entrada</t>
  </si>
  <si>
    <t>Set</t>
  </si>
  <si>
    <t>Out</t>
  </si>
  <si>
    <t>Dias</t>
  </si>
  <si>
    <t>HISTÓRICO DO PLANTEL</t>
  </si>
  <si>
    <t>CONFINAMENTO (KG)</t>
  </si>
  <si>
    <t>CONFINAMENTO (@)</t>
  </si>
  <si>
    <t>EVOLUÇÃO DE PESO (kg)</t>
  </si>
  <si>
    <t>PROJEÇÃO DE GANHO (kg)</t>
  </si>
  <si>
    <t>RENDIMENTO 55%</t>
  </si>
  <si>
    <t>Mês 10</t>
  </si>
  <si>
    <t>Mês 11</t>
  </si>
  <si>
    <t>GASTO NUTRICIONAL (R$/dia)</t>
  </si>
  <si>
    <t>jul</t>
  </si>
  <si>
    <t>ago</t>
  </si>
  <si>
    <t>set</t>
  </si>
  <si>
    <t>out</t>
  </si>
  <si>
    <t>EVOLUÇÃO DE PESO (@)</t>
  </si>
  <si>
    <t>GASTO NUTRICIONAL POR ANIMAL (R$/mês)</t>
  </si>
  <si>
    <t>GASTO NUTRICIONAL POR LOTE (R$/mês)</t>
  </si>
  <si>
    <t>FLUXO P/ 3 ANOS</t>
  </si>
  <si>
    <t>INVESTIMENTOS</t>
  </si>
  <si>
    <t>CAPITAL DE GIRO</t>
  </si>
  <si>
    <t>Aquisição de Animais</t>
  </si>
  <si>
    <t>RECEITAS</t>
  </si>
  <si>
    <t>Venda de Vacas</t>
  </si>
  <si>
    <t>Venda de Bois</t>
  </si>
  <si>
    <t>Vendas de Novilhas</t>
  </si>
  <si>
    <t>Venda de Bezerras</t>
  </si>
  <si>
    <t>Venda de Bezerros</t>
  </si>
  <si>
    <t>Venda de Garrote</t>
  </si>
  <si>
    <t>Venda de Silagem</t>
  </si>
  <si>
    <t>CUSTOS FIXOS</t>
  </si>
  <si>
    <t>Arrendamento</t>
  </si>
  <si>
    <t>Prólabore</t>
  </si>
  <si>
    <t>Manutenção</t>
  </si>
  <si>
    <t>Combustível</t>
  </si>
  <si>
    <t>Mão de Obra</t>
  </si>
  <si>
    <t>Serviços Técnicos</t>
  </si>
  <si>
    <t>Supermercado</t>
  </si>
  <si>
    <t>ITR</t>
  </si>
  <si>
    <t>Fretes</t>
  </si>
  <si>
    <t>Energia</t>
  </si>
  <si>
    <t>Tele/Internet</t>
  </si>
  <si>
    <t>CUSTOS VARIÁVEIS</t>
  </si>
  <si>
    <t>Alimentação/Suplem.</t>
  </si>
  <si>
    <t>Serviços/Outros</t>
  </si>
  <si>
    <t>Impostos</t>
  </si>
  <si>
    <t>FLUXO DE CAIXA LIVRE</t>
  </si>
  <si>
    <t>FLUXO DE CAIXA ACUM</t>
  </si>
  <si>
    <t>Contador</t>
  </si>
  <si>
    <t>TOTAL</t>
  </si>
  <si>
    <t>QANTIDADE DE @</t>
  </si>
  <si>
    <t>Sanitário/Med 2%</t>
  </si>
  <si>
    <t>Quantidade</t>
  </si>
  <si>
    <t>Saída</t>
  </si>
  <si>
    <t>Peso de Entrada @</t>
  </si>
  <si>
    <t>Peso de Entrada Kg</t>
  </si>
  <si>
    <t>Peso de Saída (kg)</t>
  </si>
  <si>
    <t>Período (dias)</t>
  </si>
  <si>
    <t>Custo da Diária</t>
  </si>
  <si>
    <t>Ganho de Peso Dia (Kg)</t>
  </si>
  <si>
    <t>Ganho de Peso Animal (Kg)</t>
  </si>
  <si>
    <t>Custo por @</t>
  </si>
  <si>
    <t>Custo por Lote</t>
  </si>
  <si>
    <t>Valor do Animal</t>
  </si>
  <si>
    <t xml:space="preserve">Rendimento </t>
  </si>
  <si>
    <t>Ganho de Peso @</t>
  </si>
  <si>
    <t>Total de @ Animal</t>
  </si>
  <si>
    <t xml:space="preserve">Mortalidade </t>
  </si>
  <si>
    <t>Total de @</t>
  </si>
  <si>
    <t>Invest Animais</t>
  </si>
  <si>
    <t>Invest Alimentação</t>
  </si>
  <si>
    <t>Custo de Capital-CDI</t>
  </si>
  <si>
    <t>Investimento Total</t>
  </si>
  <si>
    <t>Ponto de Equilíbrio @</t>
  </si>
  <si>
    <t>Peso da Produção</t>
  </si>
  <si>
    <t>Peso do Custo de Capital</t>
  </si>
  <si>
    <t>Cotação B3</t>
  </si>
  <si>
    <t>Base da sua Região</t>
  </si>
  <si>
    <t>Cotação B3 - Base</t>
  </si>
  <si>
    <t>Resultado p/ @</t>
  </si>
  <si>
    <t>Faturamento</t>
  </si>
  <si>
    <t>Lucro Líquido na Operação</t>
  </si>
  <si>
    <t>Lucro Líquido por Animal</t>
  </si>
  <si>
    <t>Taxa Líquida no Período</t>
  </si>
  <si>
    <t>Taxa Líquida ao Mês</t>
  </si>
  <si>
    <t>Taxa Líquida ao Ano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</si>
  <si>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</si>
  <si>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</si>
  <si>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</si>
  <si>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</si>
  <si>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</si>
  <si>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</si>
  <si>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</si>
  <si>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</si>
  <si>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</si>
  <si>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</si>
  <si>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</si>
  <si>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Amortização</t>
  </si>
  <si>
    <t>LOTE 1</t>
  </si>
  <si>
    <t>LOTE 2</t>
  </si>
  <si>
    <t>LOTE 3</t>
  </si>
  <si>
    <t>MÉDIA @ PROD</t>
  </si>
  <si>
    <t>LOTES</t>
  </si>
  <si>
    <t>PONTO DE EQUILÍBRIO</t>
  </si>
  <si>
    <t>CUSTO DA @ PRODUZIDA</t>
  </si>
  <si>
    <t>Aliment/Suplem.</t>
  </si>
  <si>
    <t>RECEITA</t>
  </si>
  <si>
    <t>RESULTADO</t>
  </si>
  <si>
    <t>Evolução de Peso dos Animais</t>
  </si>
  <si>
    <t xml:space="preserve">Área Últil de Pastagem em (ha) </t>
  </si>
  <si>
    <t>Faz Adubação?</t>
  </si>
  <si>
    <t>Faz integração Lavoura Pecuária?</t>
  </si>
  <si>
    <t>Qual o tipo/raça dos Animais?</t>
  </si>
  <si>
    <t>Faz cria, recria ou engorda?</t>
  </si>
  <si>
    <t>Qual a quantidade de Animais por lote e Peso?</t>
  </si>
  <si>
    <t>Compra de gado de produtor ou Leilão?</t>
  </si>
  <si>
    <t>Qual o Tipo de Terminação à pasto/TIP/confinamento?</t>
  </si>
  <si>
    <t>Qual a Taxa de Desfrute/Quantidade de Animais Vendidos/ano?</t>
  </si>
  <si>
    <t>Qual a idade média de abate?</t>
  </si>
  <si>
    <t>Quais as plantas frigoríficas mais utilizadas?</t>
  </si>
  <si>
    <t>Qual a quantidade de funcionários?</t>
  </si>
  <si>
    <t>Utiliza algum software de gestão, qual?</t>
  </si>
  <si>
    <t>Possui Balança?</t>
  </si>
  <si>
    <t>Qual frequência de pesagem?</t>
  </si>
  <si>
    <t>Utiliza controle individual Brinco/chip?</t>
  </si>
  <si>
    <t>Tem fábrica de Ração?</t>
  </si>
  <si>
    <t>Possui Moinho?</t>
  </si>
  <si>
    <t>Possui Vagão Forrageiro?</t>
  </si>
  <si>
    <t>Qual a capacidade de armazenagem de volumoso galpão/silo?</t>
  </si>
  <si>
    <t>Qual a capacidade de armazenagem de grãos galpão/silo?</t>
  </si>
  <si>
    <t>DESCRIÇÃO</t>
  </si>
  <si>
    <t>NÃO</t>
  </si>
  <si>
    <t>X</t>
  </si>
  <si>
    <t>SIM /NÃO</t>
  </si>
  <si>
    <t>Qual o tipo de Suplementação?</t>
  </si>
  <si>
    <t>Brinco/chip?</t>
  </si>
  <si>
    <t>Qual o estático?</t>
  </si>
  <si>
    <t>Faz confinamento?</t>
  </si>
  <si>
    <t>Qual software de gestão?</t>
  </si>
  <si>
    <t>Qual o sexo dos Animais?</t>
  </si>
  <si>
    <t>Qual a quantidade de Animais?</t>
  </si>
  <si>
    <t>Qual o tamanho (ha)?</t>
  </si>
  <si>
    <t>Possue área destinada a produção de volumoso?</t>
  </si>
  <si>
    <t>Faz Correção de solo?</t>
  </si>
  <si>
    <t>Com qual rotina?</t>
  </si>
  <si>
    <t>Em quantos % da área?</t>
  </si>
  <si>
    <t>Faz rotacionado?</t>
  </si>
  <si>
    <t>Proprietário?</t>
  </si>
  <si>
    <t>Município/Estado?</t>
  </si>
  <si>
    <t>Próprio ou Arrendamento?</t>
  </si>
  <si>
    <t>Qual o Índice Pluviométrico?</t>
  </si>
  <si>
    <t>Qual a área total em há?</t>
  </si>
  <si>
    <t>Qual a área útil de pastagem em há?</t>
  </si>
  <si>
    <t>Qual a quantidade Pastos?</t>
  </si>
  <si>
    <t>Qual o tamanho médio dos pastos?</t>
  </si>
  <si>
    <t>TIPO DE RESPOSTA</t>
  </si>
  <si>
    <t>DADOS BÁSICOS/INICIAIS</t>
  </si>
  <si>
    <t>Os dados de PRODUÇÃO devem ser preenchidos pelo cliente</t>
  </si>
  <si>
    <t>Deve conter os seguintes dados:</t>
  </si>
  <si>
    <t>Valor de Compra/Aquisição</t>
  </si>
  <si>
    <t>Deve ser separado por Lote/Pasto/Curral</t>
  </si>
  <si>
    <t>Se for pasto ele deve descrever, tipo: Pasto da Mata</t>
  </si>
  <si>
    <t>Se for lote ou curral vai ser numérico, Tipo: Lote 01; Curral 01</t>
  </si>
  <si>
    <t>Não pode haver limite de lotes, o cliente pode ter 50 lotes...</t>
  </si>
  <si>
    <t>Deve ser feito nas primeiras semanas (Projeção)</t>
  </si>
  <si>
    <t>Deve ser projetado até o desfrute/venda/abate do animal</t>
  </si>
  <si>
    <t>Deve ser inseridos os dados de ganho médio diário (GMD) em quilos para cada lote</t>
  </si>
  <si>
    <t>Segue exemplo:</t>
  </si>
  <si>
    <t>fev</t>
  </si>
  <si>
    <t>Quem vai determinar o GMD será o cliente juntamente com seu responsável Técnico</t>
  </si>
  <si>
    <t>Com esses dados listado podemos fazer automaticamente a Evolução de Peso Lote a Lote</t>
  </si>
  <si>
    <t>Planilha estática, ainda não possui amarrações, somente dados</t>
  </si>
  <si>
    <t>Tanto o quadro 1 e 2 podem ser demosntrado no formato de Planilha como segue o</t>
  </si>
  <si>
    <t>exemplo</t>
  </si>
  <si>
    <t>Lembrando que até agora é uma projeção, então temos que pensar em um quadro</t>
  </si>
  <si>
    <t>comparativo com Projetado e Realizado</t>
  </si>
  <si>
    <t>De período em perído ele deve pesar o gado e inserir o peso encontrado dos animais</t>
  </si>
  <si>
    <t>Como sugestão podemos pensar em um gráfico para o Dashboard com Evolução por lote</t>
  </si>
  <si>
    <t>Deve ser feito em Kg´s e em @´s</t>
  </si>
  <si>
    <t>A Planilha de gasto nutricional vai ser informado pelo cliente e deve ser conter o gasto</t>
  </si>
  <si>
    <t>em reais por animal/cabeça/dia, valor da diária.</t>
  </si>
  <si>
    <t>Nov</t>
  </si>
  <si>
    <t>Também vai ter o gasto por animal/mês (deve ser automatizada em função da anterior)</t>
  </si>
  <si>
    <t>Também vai ter o gasto por lote/mês (deve ser automatizada em função da anterior)</t>
  </si>
  <si>
    <t>O valor total da linha 68 vai alimentar o fluxo de caixa na rúbrica Custo Variável</t>
  </si>
  <si>
    <t>ÁREA</t>
  </si>
  <si>
    <t>PRODUÇÃO</t>
  </si>
  <si>
    <t>GESTÃO</t>
  </si>
  <si>
    <t>TERMINAÇÃO</t>
  </si>
  <si>
    <t xml:space="preserve">Os dados de Produção devem ser preenchidos logo depois do preenchimento dos dados Básicos, deve s feito pelo cliente/responsável  e com eles vamos dar vazão a todos os demais dados e amarrações; Deve sofrer alterações MENSAIS; </t>
  </si>
  <si>
    <t>Os Dados de Faturamento devem ser automatizados em função da forma de comercialização dos animais, sejam eles terminados ou não; Pode sofrer ajustes, mas não vai ter uma rotina maior do que MENSAL</t>
  </si>
  <si>
    <t>EVOLUÇÃO DO PESO NO CONFINAMENTO (KG)</t>
  </si>
  <si>
    <t>EVOLUÇÃO DO PESO NO CONFINAMENTO (@)</t>
  </si>
  <si>
    <t>GANHO DE PESO NO CONFINAMENTO (KG) P/1,5 GMD</t>
  </si>
  <si>
    <t>QUANT. DE @/LOTE</t>
  </si>
  <si>
    <t>Essa deve ser uma planilha bem automatizada com as amarraçõs vindas principalmente dos dados de produção</t>
  </si>
  <si>
    <t>O GMD será informado pelo cliente/responsável, nesse exemplo foi de 1,5</t>
  </si>
  <si>
    <t>O Rendimento de carcaça será informado pelo cliente/responsável, nesse exemplo foi de 55%</t>
  </si>
  <si>
    <t>Lote</t>
  </si>
  <si>
    <t>Valor da @</t>
  </si>
  <si>
    <t>FATURAMENTO</t>
  </si>
  <si>
    <t>O valor por @ no estágio de projeção será sugerido e depois será identificado pela efetivação da comrcialização</t>
  </si>
  <si>
    <t>Os valores faturados vão ser utilizados no fluxo de caixa</t>
  </si>
  <si>
    <t>FATURAMETO VIA CONFINAMENTO - ANIMAL TERMINADO</t>
  </si>
  <si>
    <t>FATURAMETO VIA VENDA DE ANIMAL NÃO TERMINADO</t>
  </si>
  <si>
    <t>FATURAMENTO COM ÁGIO DE 5%</t>
  </si>
  <si>
    <t>Foi convencionado um ágio de 5% sobre o valor da @, para a venda dos animais</t>
  </si>
  <si>
    <t>Aqui temos uma sugestão de Fluxo de Caixa, ele deve ser automatizado com as informações oriundas da produçao e do faturamento; O cliente/responsável deve inicialmente preencher as rúbricas de custo fixo considerando o período mês a mês; Ele deve fazer uma projeção de gastos com custo fixo, e ter um horizonte projetado de pelo menos 01 ano; Ele deve preencher em um ambiente específico e não no fluxo, depois do preenchimento do projetado ele pode vizualizar no fluxo que já estará automatizado.</t>
  </si>
  <si>
    <t>Esse fluxo está considerando o faturamento com a comercialização do animais confinados.</t>
  </si>
  <si>
    <t>Desembolso</t>
  </si>
  <si>
    <t>RENTABILIDADE</t>
  </si>
  <si>
    <t>LUCRATIVIDADE</t>
  </si>
  <si>
    <t>SIM</t>
  </si>
  <si>
    <t>Duas informações que devem estar no Dashboard, não no formato de planilha, mas no formato de gráficos e pode ser um a um, lote a lote</t>
  </si>
  <si>
    <t>Os dados BÁSICOS devem ser preenchidos pelo cliente/responsável  e será a primeira inserção de dados/input que ele fará na plataforma; Nenhuma das informções dos dados básicos precisam estar no dashboard; A frequência das atualizações dos dados básicos será baixa, tipo anual.</t>
  </si>
  <si>
    <t>SIM, devem ir para 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</si>
</sst>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"/>
    <numFmt numFmtId="166" formatCode="0.0000%"/>
    <numFmt numFmtId="167" formatCode="_-&quot;R$&quot;\ * #,##0.0000_-;\-&quot;R$&quot;\ * #,##0.0000_-;_-&quot;R$&quot;\ * &quot;-&quot;????_-;_-@_-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sz val="11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2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/>
    <xf numFmtId="0" fontId="1" fillId="0" borderId="7" xfId="0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" fontId="1" fillId="0" borderId="6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17" fontId="1" fillId="5" borderId="13" xfId="0" applyNumberFormat="1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4" borderId="21" xfId="0" applyFont="1" applyFill="1" applyBorder="1"/>
    <xf numFmtId="0" fontId="1" fillId="4" borderId="24" xfId="0" applyFont="1" applyFill="1" applyBorder="1"/>
    <xf numFmtId="0" fontId="1" fillId="4" borderId="18" xfId="0" applyFont="1" applyFill="1" applyBorder="1"/>
    <xf numFmtId="0" fontId="1" fillId="4" borderId="18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7" xfId="0" applyFont="1" applyFill="1" applyBorder="1"/>
    <xf numFmtId="0" fontId="1" fillId="4" borderId="30" xfId="0" applyFont="1" applyFill="1" applyBorder="1"/>
    <xf numFmtId="4" fontId="1" fillId="0" borderId="0" xfId="0" applyNumberFormat="1" applyFont="1"/>
    <xf numFmtId="0" fontId="1" fillId="0" borderId="27" xfId="0" applyFont="1" applyBorder="1" applyAlignment="1">
      <alignment horizontal="center"/>
    </xf>
    <xf numFmtId="4" fontId="1" fillId="0" borderId="28" xfId="0" applyNumberFormat="1" applyFont="1" applyBorder="1"/>
    <xf numFmtId="4" fontId="1" fillId="0" borderId="29" xfId="0" applyNumberFormat="1" applyFont="1" applyBorder="1"/>
    <xf numFmtId="4" fontId="1" fillId="0" borderId="10" xfId="0" applyNumberFormat="1" applyFont="1" applyBorder="1" applyAlignment="1">
      <alignment horizontal="center"/>
    </xf>
    <xf numFmtId="4" fontId="1" fillId="0" borderId="1" xfId="0" applyNumberFormat="1" applyFont="1" applyBorder="1"/>
    <xf numFmtId="0" fontId="1" fillId="6" borderId="27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4" fontId="1" fillId="4" borderId="22" xfId="0" applyNumberFormat="1" applyFont="1" applyFill="1" applyBorder="1" applyAlignment="1">
      <alignment horizontal="right"/>
    </xf>
    <xf numFmtId="4" fontId="1" fillId="4" borderId="19" xfId="0" applyNumberFormat="1" applyFont="1" applyFill="1" applyBorder="1" applyAlignment="1">
      <alignment horizontal="right"/>
    </xf>
    <xf numFmtId="4" fontId="1" fillId="4" borderId="20" xfId="0" applyNumberFormat="1" applyFont="1" applyFill="1" applyBorder="1" applyAlignment="1">
      <alignment horizontal="right"/>
    </xf>
    <xf numFmtId="4" fontId="1" fillId="4" borderId="16" xfId="0" applyNumberFormat="1" applyFont="1" applyFill="1" applyBorder="1" applyAlignment="1">
      <alignment horizontal="right"/>
    </xf>
    <xf numFmtId="4" fontId="1" fillId="4" borderId="17" xfId="0" applyNumberFormat="1" applyFont="1" applyFill="1" applyBorder="1" applyAlignment="1">
      <alignment horizontal="right"/>
    </xf>
    <xf numFmtId="4" fontId="1" fillId="4" borderId="25" xfId="0" applyNumberFormat="1" applyFont="1" applyFill="1" applyBorder="1" applyAlignment="1">
      <alignment horizontal="right"/>
    </xf>
    <xf numFmtId="4" fontId="1" fillId="4" borderId="26" xfId="0" applyNumberFormat="1" applyFont="1" applyFill="1" applyBorder="1" applyAlignment="1">
      <alignment horizontal="right"/>
    </xf>
    <xf numFmtId="4" fontId="1" fillId="6" borderId="28" xfId="0" applyNumberFormat="1" applyFont="1" applyFill="1" applyBorder="1" applyAlignment="1">
      <alignment horizontal="right"/>
    </xf>
    <xf numFmtId="4" fontId="1" fillId="6" borderId="29" xfId="0" applyNumberFormat="1" applyFont="1" applyFill="1" applyBorder="1" applyAlignment="1">
      <alignment horizontal="right"/>
    </xf>
    <xf numFmtId="4" fontId="1" fillId="4" borderId="23" xfId="0" applyNumberFormat="1" applyFont="1" applyFill="1" applyBorder="1" applyAlignment="1">
      <alignment horizontal="right"/>
    </xf>
    <xf numFmtId="4" fontId="1" fillId="2" borderId="28" xfId="0" applyNumberFormat="1" applyFont="1" applyFill="1" applyBorder="1" applyAlignment="1">
      <alignment horizontal="right"/>
    </xf>
    <xf numFmtId="4" fontId="1" fillId="2" borderId="29" xfId="0" applyNumberFormat="1" applyFont="1" applyFill="1" applyBorder="1" applyAlignment="1">
      <alignment horizontal="right"/>
    </xf>
    <xf numFmtId="4" fontId="1" fillId="7" borderId="28" xfId="0" applyNumberFormat="1" applyFont="1" applyFill="1" applyBorder="1" applyAlignment="1">
      <alignment horizontal="right"/>
    </xf>
    <xf numFmtId="4" fontId="1" fillId="7" borderId="29" xfId="0" applyNumberFormat="1" applyFont="1" applyFill="1" applyBorder="1" applyAlignment="1">
      <alignment horizontal="right"/>
    </xf>
    <xf numFmtId="4" fontId="1" fillId="4" borderId="28" xfId="0" applyNumberFormat="1" applyFont="1" applyFill="1" applyBorder="1" applyAlignment="1">
      <alignment horizontal="right"/>
    </xf>
    <xf numFmtId="4" fontId="1" fillId="4" borderId="31" xfId="0" applyNumberFormat="1" applyFont="1" applyFill="1" applyBorder="1" applyAlignment="1">
      <alignment horizontal="right"/>
    </xf>
    <xf numFmtId="4" fontId="1" fillId="4" borderId="32" xfId="0" applyNumberFormat="1" applyFont="1" applyFill="1" applyBorder="1" applyAlignment="1">
      <alignment horizontal="right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8" borderId="33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5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Alignment="1" applyProtection="1">
      <alignment horizontal="center" vertical="center"/>
      <protection locked="0"/>
    </xf>
    <xf numFmtId="0" fontId="5" fillId="9" borderId="33" xfId="0" applyFont="1" applyFill="1" applyBorder="1" applyAlignment="1" applyProtection="1">
      <alignment horizontal="center" vertical="center"/>
      <protection locked="0"/>
    </xf>
    <xf numFmtId="0" fontId="6" fillId="9" borderId="3" xfId="0" applyFont="1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8" fillId="4" borderId="36" xfId="0" applyFont="1" applyFill="1" applyBorder="1" applyAlignment="1" applyProtection="1">
      <alignment horizontal="center"/>
      <protection locked="0"/>
    </xf>
    <xf numFmtId="164" fontId="1" fillId="0" borderId="0" xfId="0" applyNumberFormat="1" applyFont="1" applyProtection="1">
      <protection locked="0"/>
    </xf>
    <xf numFmtId="0" fontId="8" fillId="4" borderId="37" xfId="0" applyFont="1" applyFill="1" applyBorder="1" applyAlignment="1" applyProtection="1">
      <alignment horizontal="center"/>
      <protection locked="0"/>
    </xf>
    <xf numFmtId="14" fontId="8" fillId="4" borderId="6" xfId="0" applyNumberFormat="1" applyFont="1" applyFill="1" applyBorder="1" applyAlignment="1" applyProtection="1">
      <alignment horizontal="center"/>
      <protection locked="0"/>
    </xf>
    <xf numFmtId="2" fontId="8" fillId="4" borderId="38" xfId="0" applyNumberFormat="1" applyFont="1" applyFill="1" applyBorder="1" applyAlignment="1" applyProtection="1">
      <alignment horizontal="center"/>
      <protection locked="0"/>
    </xf>
    <xf numFmtId="43" fontId="1" fillId="0" borderId="0" xfId="1" applyFont="1" applyProtection="1">
      <protection locked="0"/>
    </xf>
    <xf numFmtId="2" fontId="1" fillId="0" borderId="0" xfId="0" applyNumberFormat="1" applyFont="1" applyProtection="1">
      <protection locked="0"/>
    </xf>
    <xf numFmtId="0" fontId="8" fillId="4" borderId="38" xfId="0" applyFont="1" applyFill="1" applyBorder="1" applyAlignment="1" applyProtection="1">
      <alignment horizontal="center"/>
      <protection locked="0"/>
    </xf>
    <xf numFmtId="10" fontId="1" fillId="0" borderId="0" xfId="2" applyNumberFormat="1" applyFont="1" applyAlignment="1" applyProtection="1">
      <alignment horizontal="center"/>
      <protection locked="0"/>
    </xf>
    <xf numFmtId="10" fontId="1" fillId="0" borderId="0" xfId="2" applyNumberFormat="1" applyFont="1" applyProtection="1">
      <protection locked="0"/>
    </xf>
    <xf numFmtId="166" fontId="1" fillId="0" borderId="0" xfId="2" applyNumberFormat="1" applyFont="1" applyProtection="1">
      <protection locked="0"/>
    </xf>
    <xf numFmtId="164" fontId="8" fillId="4" borderId="38" xfId="1" applyNumberFormat="1" applyFont="1" applyFill="1" applyBorder="1" applyAlignment="1" applyProtection="1">
      <alignment horizontal="center"/>
      <protection locked="0"/>
    </xf>
    <xf numFmtId="164" fontId="8" fillId="4" borderId="38" xfId="0" applyNumberFormat="1" applyFont="1" applyFill="1" applyBorder="1" applyAlignment="1" applyProtection="1">
      <alignment horizontal="center"/>
      <protection locked="0"/>
    </xf>
    <xf numFmtId="43" fontId="1" fillId="0" borderId="0" xfId="0" applyNumberFormat="1" applyFont="1" applyProtection="1">
      <protection locked="0"/>
    </xf>
    <xf numFmtId="10" fontId="8" fillId="4" borderId="38" xfId="0" applyNumberFormat="1" applyFont="1" applyFill="1" applyBorder="1" applyAlignment="1" applyProtection="1">
      <alignment horizontal="center"/>
      <protection locked="0"/>
    </xf>
    <xf numFmtId="10" fontId="1" fillId="0" borderId="0" xfId="0" applyNumberFormat="1" applyFont="1" applyAlignment="1" applyProtection="1">
      <alignment horizontal="center"/>
      <protection locked="0"/>
    </xf>
    <xf numFmtId="10" fontId="8" fillId="4" borderId="38" xfId="2" applyNumberFormat="1" applyFont="1" applyFill="1" applyBorder="1" applyAlignment="1" applyProtection="1">
      <alignment horizontal="center"/>
      <protection locked="0"/>
    </xf>
    <xf numFmtId="167" fontId="1" fillId="0" borderId="0" xfId="0" applyNumberFormat="1" applyFont="1" applyProtection="1">
      <protection locked="0"/>
    </xf>
    <xf numFmtId="164" fontId="1" fillId="4" borderId="38" xfId="2" applyNumberFormat="1" applyFont="1" applyFill="1" applyBorder="1" applyAlignment="1" applyProtection="1">
      <alignment horizontal="center"/>
      <protection locked="0"/>
    </xf>
    <xf numFmtId="10" fontId="1" fillId="4" borderId="38" xfId="2" applyNumberFormat="1" applyFont="1" applyFill="1" applyBorder="1" applyAlignment="1" applyProtection="1">
      <alignment horizontal="center"/>
      <protection locked="0"/>
    </xf>
    <xf numFmtId="9" fontId="1" fillId="4" borderId="38" xfId="2" applyFont="1" applyFill="1" applyBorder="1" applyAlignment="1" applyProtection="1">
      <alignment horizontal="center"/>
      <protection locked="0"/>
    </xf>
    <xf numFmtId="10" fontId="1" fillId="0" borderId="0" xfId="0" applyNumberFormat="1" applyFont="1" applyProtection="1">
      <protection locked="0"/>
    </xf>
    <xf numFmtId="10" fontId="1" fillId="0" borderId="0" xfId="1" applyNumberFormat="1" applyFont="1" applyAlignment="1" applyProtection="1">
      <alignment horizontal="center"/>
      <protection locked="0"/>
    </xf>
    <xf numFmtId="17" fontId="1" fillId="0" borderId="0" xfId="0" applyNumberFormat="1" applyFont="1" applyAlignment="1" applyProtection="1">
      <alignment horizontal="center"/>
      <protection locked="0"/>
    </xf>
    <xf numFmtId="1" fontId="1" fillId="0" borderId="0" xfId="1" applyNumberFormat="1" applyFont="1" applyAlignment="1" applyProtection="1">
      <alignment horizontal="center"/>
      <protection locked="0"/>
    </xf>
    <xf numFmtId="164" fontId="1" fillId="0" borderId="0" xfId="1" applyNumberFormat="1" applyFont="1" applyAlignment="1" applyProtection="1">
      <alignment horizontal="center"/>
      <protection locked="0"/>
    </xf>
    <xf numFmtId="2" fontId="1" fillId="0" borderId="0" xfId="1" applyNumberFormat="1" applyFont="1" applyAlignment="1" applyProtection="1">
      <alignment horizontal="center"/>
      <protection locked="0"/>
    </xf>
    <xf numFmtId="43" fontId="1" fillId="0" borderId="0" xfId="1" applyFont="1" applyAlignment="1" applyProtection="1">
      <alignment horizontal="center"/>
      <protection locked="0"/>
    </xf>
    <xf numFmtId="1" fontId="1" fillId="0" borderId="0" xfId="0" applyNumberFormat="1" applyFont="1" applyAlignment="1" applyProtection="1">
      <alignment horizontal="center"/>
      <protection locked="0"/>
    </xf>
    <xf numFmtId="2" fontId="1" fillId="0" borderId="0" xfId="0" applyNumberFormat="1" applyFont="1" applyAlignment="1" applyProtection="1">
      <alignment horizontal="center"/>
      <protection locked="0"/>
    </xf>
    <xf numFmtId="43" fontId="1" fillId="0" borderId="0" xfId="0" applyNumberFormat="1" applyFont="1" applyAlignment="1" applyProtection="1">
      <alignment horizontal="center"/>
      <protection locked="0"/>
    </xf>
    <xf numFmtId="0" fontId="7" fillId="4" borderId="36" xfId="0" applyFont="1" applyFill="1" applyBorder="1" applyProtection="1">
      <protection locked="0"/>
    </xf>
    <xf numFmtId="0" fontId="7" fillId="4" borderId="37" xfId="0" applyFont="1" applyFill="1" applyBorder="1" applyProtection="1">
      <protection locked="0"/>
    </xf>
    <xf numFmtId="0" fontId="7" fillId="4" borderId="5" xfId="0" applyFont="1" applyFill="1" applyBorder="1" applyProtection="1">
      <protection locked="0"/>
    </xf>
    <xf numFmtId="0" fontId="7" fillId="4" borderId="38" xfId="0" applyFont="1" applyFill="1" applyBorder="1" applyProtection="1">
      <protection locked="0"/>
    </xf>
    <xf numFmtId="2" fontId="9" fillId="4" borderId="39" xfId="0" applyNumberFormat="1" applyFont="1" applyFill="1" applyBorder="1" applyAlignment="1">
      <alignment horizontal="center"/>
    </xf>
    <xf numFmtId="2" fontId="8" fillId="4" borderId="38" xfId="0" applyNumberFormat="1" applyFont="1" applyFill="1" applyBorder="1" applyAlignment="1">
      <alignment horizontal="center"/>
    </xf>
    <xf numFmtId="43" fontId="8" fillId="4" borderId="38" xfId="1" applyFont="1" applyFill="1" applyBorder="1" applyAlignment="1" applyProtection="1">
      <alignment horizontal="center"/>
      <protection locked="0"/>
    </xf>
    <xf numFmtId="44" fontId="8" fillId="4" borderId="38" xfId="0" applyNumberFormat="1" applyFont="1" applyFill="1" applyBorder="1" applyAlignment="1" applyProtection="1">
      <alignment horizontal="center"/>
      <protection locked="0"/>
    </xf>
    <xf numFmtId="0" fontId="7" fillId="4" borderId="41" xfId="0" applyFont="1" applyFill="1" applyBorder="1" applyProtection="1">
      <protection locked="0"/>
    </xf>
    <xf numFmtId="10" fontId="1" fillId="4" borderId="41" xfId="2" applyNumberFormat="1" applyFont="1" applyFill="1" applyBorder="1" applyAlignment="1" applyProtection="1">
      <alignment horizontal="center"/>
      <protection locked="0"/>
    </xf>
    <xf numFmtId="164" fontId="1" fillId="4" borderId="38" xfId="1" applyNumberFormat="1" applyFont="1" applyFill="1" applyBorder="1" applyAlignment="1" applyProtection="1">
      <alignment horizontal="center"/>
      <protection locked="0"/>
    </xf>
    <xf numFmtId="0" fontId="7" fillId="4" borderId="42" xfId="0" applyFont="1" applyFill="1" applyBorder="1" applyProtection="1">
      <protection locked="0"/>
    </xf>
    <xf numFmtId="10" fontId="1" fillId="4" borderId="42" xfId="2" applyNumberFormat="1" applyFont="1" applyFill="1" applyBorder="1" applyAlignment="1" applyProtection="1">
      <alignment horizontal="center"/>
      <protection locked="0"/>
    </xf>
    <xf numFmtId="17" fontId="7" fillId="4" borderId="1" xfId="0" applyNumberFormat="1" applyFont="1" applyFill="1" applyBorder="1" applyAlignment="1" applyProtection="1">
      <alignment horizontal="center" vertical="center"/>
      <protection locked="0"/>
    </xf>
    <xf numFmtId="0" fontId="10" fillId="2" borderId="40" xfId="0" applyFont="1" applyFill="1" applyBorder="1" applyAlignment="1" applyProtection="1">
      <alignment horizontal="center"/>
      <protection locked="0"/>
    </xf>
    <xf numFmtId="2" fontId="10" fillId="2" borderId="40" xfId="0" applyNumberFormat="1" applyFont="1" applyFill="1" applyBorder="1" applyAlignment="1" applyProtection="1">
      <alignment horizontal="center"/>
      <protection locked="0"/>
    </xf>
    <xf numFmtId="0" fontId="7" fillId="10" borderId="38" xfId="0" applyFont="1" applyFill="1" applyBorder="1" applyProtection="1">
      <protection locked="0"/>
    </xf>
    <xf numFmtId="2" fontId="8" fillId="10" borderId="38" xfId="0" applyNumberFormat="1" applyFont="1" applyFill="1" applyBorder="1" applyAlignment="1" applyProtection="1">
      <alignment horizontal="center"/>
      <protection locked="0"/>
    </xf>
    <xf numFmtId="2" fontId="8" fillId="10" borderId="38" xfId="0" applyNumberFormat="1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17" fontId="7" fillId="4" borderId="6" xfId="0" applyNumberFormat="1" applyFont="1" applyFill="1" applyBorder="1" applyAlignment="1" applyProtection="1">
      <alignment horizontal="center" vertical="center"/>
      <protection locked="0"/>
    </xf>
    <xf numFmtId="0" fontId="1" fillId="0" borderId="5" xfId="0" applyFont="1" applyBorder="1"/>
    <xf numFmtId="0" fontId="1" fillId="0" borderId="8" xfId="0" applyFont="1" applyBorder="1"/>
    <xf numFmtId="44" fontId="1" fillId="0" borderId="6" xfId="0" applyNumberFormat="1" applyFont="1" applyBorder="1"/>
    <xf numFmtId="44" fontId="1" fillId="0" borderId="7" xfId="0" applyNumberFormat="1" applyFont="1" applyBorder="1"/>
    <xf numFmtId="44" fontId="1" fillId="0" borderId="9" xfId="0" applyNumberFormat="1" applyFont="1" applyBorder="1"/>
    <xf numFmtId="44" fontId="1" fillId="0" borderId="10" xfId="0" applyNumberFormat="1" applyFont="1" applyBorder="1"/>
    <xf numFmtId="2" fontId="1" fillId="0" borderId="0" xfId="0" applyNumberFormat="1" applyFont="1"/>
    <xf numFmtId="0" fontId="1" fillId="4" borderId="5" xfId="0" applyFont="1" applyFill="1" applyBorder="1"/>
    <xf numFmtId="0" fontId="1" fillId="4" borderId="8" xfId="0" applyFont="1" applyFill="1" applyBorder="1"/>
    <xf numFmtId="4" fontId="1" fillId="0" borderId="6" xfId="0" applyNumberFormat="1" applyFont="1" applyBorder="1"/>
    <xf numFmtId="10" fontId="1" fillId="0" borderId="7" xfId="2" applyNumberFormat="1" applyFont="1" applyBorder="1"/>
    <xf numFmtId="4" fontId="1" fillId="0" borderId="9" xfId="0" applyNumberFormat="1" applyFont="1" applyBorder="1"/>
    <xf numFmtId="10" fontId="1" fillId="0" borderId="10" xfId="2" applyNumberFormat="1" applyFont="1" applyBorder="1"/>
    <xf numFmtId="0" fontId="1" fillId="4" borderId="47" xfId="0" applyFont="1" applyFill="1" applyBorder="1"/>
    <xf numFmtId="3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" fontId="1" fillId="5" borderId="12" xfId="0" applyNumberFormat="1" applyFont="1" applyFill="1" applyBorder="1" applyAlignment="1">
      <alignment horizontal="center" vertical="center"/>
    </xf>
    <xf numFmtId="1" fontId="1" fillId="5" borderId="1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/>
    </xf>
    <xf numFmtId="0" fontId="11" fillId="5" borderId="34" xfId="0" applyFont="1" applyFill="1" applyBorder="1" applyAlignment="1">
      <alignment horizontal="center" vertical="center"/>
    </xf>
    <xf numFmtId="0" fontId="11" fillId="5" borderId="44" xfId="0" applyFont="1" applyFill="1" applyBorder="1" applyAlignment="1">
      <alignment horizontal="center" vertical="center"/>
    </xf>
    <xf numFmtId="0" fontId="11" fillId="5" borderId="45" xfId="0" applyFont="1" applyFill="1" applyBorder="1" applyAlignment="1">
      <alignment horizontal="center" vertical="center"/>
    </xf>
    <xf numFmtId="0" fontId="11" fillId="5" borderId="43" xfId="0" applyFont="1" applyFill="1" applyBorder="1" applyAlignment="1">
      <alignment horizontal="center" vertical="center"/>
    </xf>
    <xf numFmtId="0" fontId="11" fillId="5" borderId="4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" fontId="1" fillId="0" borderId="0" xfId="0" applyNumberFormat="1" applyFont="1"/>
    <xf numFmtId="164" fontId="1" fillId="0" borderId="0" xfId="0" applyNumberFormat="1" applyFont="1"/>
    <xf numFmtId="0" fontId="0" fillId="0" borderId="48" xfId="0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3" fillId="0" borderId="52" xfId="0" applyFont="1" applyBorder="1" applyAlignment="1">
      <alignment vertical="center"/>
    </xf>
    <xf numFmtId="0" fontId="13" fillId="0" borderId="53" xfId="0" applyFont="1" applyBorder="1" applyAlignment="1">
      <alignment vertical="center"/>
    </xf>
    <xf numFmtId="0" fontId="13" fillId="0" borderId="54" xfId="0" applyFont="1" applyBorder="1" applyAlignment="1">
      <alignment vertical="center"/>
    </xf>
    <xf numFmtId="0" fontId="13" fillId="0" borderId="51" xfId="0" applyFont="1" applyBorder="1" applyAlignment="1">
      <alignment vertic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5" borderId="50" xfId="0" applyFont="1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1" fillId="5" borderId="56" xfId="0" applyFont="1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2" fillId="5" borderId="55" xfId="0" applyFont="1" applyFill="1" applyBorder="1"/>
    <xf numFmtId="0" fontId="1" fillId="2" borderId="0" xfId="0" applyFont="1" applyFill="1"/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11" borderId="0" xfId="0" applyFont="1" applyFill="1"/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/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59" xfId="0" applyFont="1" applyBorder="1"/>
    <xf numFmtId="0" fontId="1" fillId="11" borderId="59" xfId="0" applyFont="1" applyFill="1" applyBorder="1"/>
    <xf numFmtId="0" fontId="1" fillId="0" borderId="14" xfId="0" applyFont="1" applyBorder="1"/>
    <xf numFmtId="0" fontId="1" fillId="11" borderId="2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" fillId="11" borderId="62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4" fontId="1" fillId="0" borderId="28" xfId="0" applyNumberFormat="1" applyFont="1" applyBorder="1" applyAlignment="1">
      <alignment horizontal="center"/>
    </xf>
    <xf numFmtId="0" fontId="12" fillId="5" borderId="55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0" fillId="2" borderId="63" xfId="0" applyFill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/>
    </xf>
    <xf numFmtId="164" fontId="1" fillId="0" borderId="23" xfId="0" applyNumberFormat="1" applyFont="1" applyBorder="1"/>
    <xf numFmtId="164" fontId="1" fillId="0" borderId="16" xfId="0" applyNumberFormat="1" applyFont="1" applyBorder="1" applyAlignment="1">
      <alignment horizontal="center"/>
    </xf>
    <xf numFmtId="164" fontId="1" fillId="0" borderId="17" xfId="0" applyNumberFormat="1" applyFont="1" applyBorder="1"/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/>
    </xf>
    <xf numFmtId="164" fontId="1" fillId="0" borderId="20" xfId="0" applyNumberFormat="1" applyFont="1" applyBorder="1"/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0" borderId="1" xfId="0" applyNumberFormat="1" applyFont="1" applyBorder="1"/>
    <xf numFmtId="0" fontId="1" fillId="2" borderId="36" xfId="0" applyFont="1" applyFill="1" applyBorder="1" applyAlignment="1">
      <alignment wrapText="1"/>
    </xf>
    <xf numFmtId="0" fontId="1" fillId="0" borderId="35" xfId="0" applyFont="1" applyBorder="1"/>
    <xf numFmtId="0" fontId="1" fillId="0" borderId="0" xfId="0" applyFont="1" applyBorder="1"/>
    <xf numFmtId="0" fontId="1" fillId="0" borderId="63" xfId="0" applyFont="1" applyBorder="1"/>
    <xf numFmtId="2" fontId="1" fillId="0" borderId="63" xfId="0" applyNumberFormat="1" applyFont="1" applyBorder="1" applyAlignment="1">
      <alignment horizontal="center"/>
    </xf>
    <xf numFmtId="0" fontId="1" fillId="0" borderId="45" xfId="0" applyFont="1" applyBorder="1"/>
    <xf numFmtId="0" fontId="1" fillId="0" borderId="43" xfId="0" applyFont="1" applyBorder="1"/>
    <xf numFmtId="4" fontId="1" fillId="0" borderId="46" xfId="0" applyNumberFormat="1" applyFont="1" applyBorder="1"/>
    <xf numFmtId="0" fontId="1" fillId="0" borderId="46" xfId="0" applyFont="1" applyBorder="1"/>
    <xf numFmtId="0" fontId="1" fillId="5" borderId="61" xfId="0" applyFont="1" applyFill="1" applyBorder="1" applyAlignment="1">
      <alignment horizontal="center" vertical="center"/>
    </xf>
    <xf numFmtId="0" fontId="1" fillId="5" borderId="64" xfId="0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6" fillId="12" borderId="34" xfId="0" applyFont="1" applyFill="1" applyBorder="1" applyAlignment="1">
      <alignment horizontal="center" vertical="center"/>
    </xf>
    <xf numFmtId="0" fontId="16" fillId="12" borderId="44" xfId="0" applyFont="1" applyFill="1" applyBorder="1" applyAlignment="1">
      <alignment horizontal="center" vertical="center"/>
    </xf>
    <xf numFmtId="0" fontId="16" fillId="12" borderId="45" xfId="0" applyFont="1" applyFill="1" applyBorder="1" applyAlignment="1">
      <alignment horizontal="center" vertical="center"/>
    </xf>
    <xf numFmtId="0" fontId="16" fillId="12" borderId="43" xfId="0" applyFont="1" applyFill="1" applyBorder="1" applyAlignment="1">
      <alignment horizontal="center" vertical="center"/>
    </xf>
    <xf numFmtId="0" fontId="16" fillId="12" borderId="46" xfId="0" applyFont="1" applyFill="1" applyBorder="1" applyAlignment="1">
      <alignment horizontal="center" vertical="center"/>
    </xf>
    <xf numFmtId="4" fontId="1" fillId="0" borderId="0" xfId="0" applyNumberFormat="1" applyFont="1" applyBorder="1"/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0" borderId="11" xfId="0" applyFont="1" applyBorder="1"/>
    <xf numFmtId="4" fontId="1" fillId="0" borderId="11" xfId="0" applyNumberFormat="1" applyFont="1" applyBorder="1"/>
    <xf numFmtId="4" fontId="1" fillId="0" borderId="59" xfId="0" applyNumberFormat="1" applyFont="1" applyBorder="1"/>
    <xf numFmtId="10" fontId="1" fillId="0" borderId="59" xfId="2" applyNumberFormat="1" applyFont="1" applyBorder="1" applyAlignment="1">
      <alignment horizontal="center"/>
    </xf>
    <xf numFmtId="10" fontId="1" fillId="0" borderId="14" xfId="2" applyNumberFormat="1" applyFont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" fontId="7" fillId="4" borderId="59" xfId="0" applyNumberFormat="1" applyFont="1" applyFill="1" applyBorder="1" applyAlignment="1" applyProtection="1">
      <alignment horizontal="center" vertical="center"/>
      <protection locked="0"/>
    </xf>
    <xf numFmtId="2" fontId="1" fillId="0" borderId="59" xfId="0" applyNumberFormat="1" applyFont="1" applyBorder="1" applyAlignment="1">
      <alignment horizontal="center"/>
    </xf>
    <xf numFmtId="17" fontId="7" fillId="4" borderId="14" xfId="0" applyNumberFormat="1" applyFont="1" applyFill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>
      <alignment horizontal="center"/>
    </xf>
    <xf numFmtId="17" fontId="7" fillId="4" borderId="66" xfId="0" applyNumberFormat="1" applyFont="1" applyFill="1" applyBorder="1" applyAlignment="1" applyProtection="1">
      <alignment horizontal="center" vertical="center"/>
      <protection locked="0"/>
    </xf>
    <xf numFmtId="2" fontId="1" fillId="0" borderId="6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de Peso - Lote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6.79806328556750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7B-4D39-90CB-8EBE43F7CAA9}"/>
                </c:ext>
              </c:extLst>
            </c:dLbl>
            <c:dLbl>
              <c:idx val="2"/>
              <c:layout>
                <c:manualLayout>
                  <c:x val="7.8247261345852533E-3"/>
                  <c:y val="2.06006857838422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7B-4D39-90CB-8EBE43F7CAA9}"/>
                </c:ext>
              </c:extLst>
            </c:dLbl>
            <c:dLbl>
              <c:idx val="3"/>
              <c:layout>
                <c:manualLayout>
                  <c:x val="3.9123630672926093E-3"/>
                  <c:y val="2.75019970329795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7B-4D39-90CB-8EBE43F7CAA9}"/>
                </c:ext>
              </c:extLst>
            </c:dLbl>
            <c:dLbl>
              <c:idx val="4"/>
              <c:layout>
                <c:manualLayout>
                  <c:x val="-3.9123630672926448E-3"/>
                  <c:y val="2.75019970329795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7B-4D39-90CB-8EBE43F7CAA9}"/>
                </c:ext>
              </c:extLst>
            </c:dLbl>
            <c:dLbl>
              <c:idx val="5"/>
              <c:layout>
                <c:manualLayout>
                  <c:x val="-7.1725827650816864E-17"/>
                  <c:y val="2.59837085581692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7B-4D39-90CB-8EBE43F7CAA9}"/>
                </c:ext>
              </c:extLst>
            </c:dLbl>
            <c:dLbl>
              <c:idx val="6"/>
              <c:layout>
                <c:manualLayout>
                  <c:x val="0"/>
                  <c:y val="2.59837085581693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7B-4D39-90CB-8EBE43F7CAA9}"/>
                </c:ext>
              </c:extLst>
            </c:dLbl>
            <c:dLbl>
              <c:idx val="7"/>
              <c:layout>
                <c:manualLayout>
                  <c:x val="0"/>
                  <c:y val="3.97863310564440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7B-4D39-90CB-8EBE43F7CAA9}"/>
                </c:ext>
              </c:extLst>
            </c:dLbl>
            <c:dLbl>
              <c:idx val="8"/>
              <c:layout>
                <c:manualLayout>
                  <c:x val="-1.4345165530163373E-16"/>
                  <c:y val="4.66876423055813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77B-4D39-90CB-8EBE43F7CAA9}"/>
                </c:ext>
              </c:extLst>
            </c:dLbl>
            <c:dLbl>
              <c:idx val="9"/>
              <c:layout>
                <c:manualLayout>
                  <c:x val="0"/>
                  <c:y val="4.66876423055813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7B-4D39-90CB-8EBE43F7CA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de Prod'!$T$23:$T$32</c:f>
              <c:strCache>
                <c:ptCount val="10"/>
                <c:pt idx="0">
                  <c:v>Lote 1</c:v>
                </c:pt>
                <c:pt idx="1">
                  <c:v>0</c:v>
                </c:pt>
                <c:pt idx="2">
                  <c:v>Jan</c:v>
                </c:pt>
                <c:pt idx="3">
                  <c:v>Fev</c:v>
                </c:pt>
                <c:pt idx="4">
                  <c:v>Mar</c:v>
                </c:pt>
                <c:pt idx="5">
                  <c:v>Abr</c:v>
                </c:pt>
                <c:pt idx="6">
                  <c:v>Mai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</c:strCache>
            </c:strRef>
          </c:cat>
          <c:val>
            <c:numRef>
              <c:f>'Dados de Prod'!$U$23:$U$32</c:f>
              <c:numCache>
                <c:formatCode>0.00</c:formatCode>
                <c:ptCount val="10"/>
                <c:pt idx="1">
                  <c:v>210</c:v>
                </c:pt>
                <c:pt idx="2">
                  <c:v>237.9</c:v>
                </c:pt>
                <c:pt idx="3">
                  <c:v>263.10000000000002</c:v>
                </c:pt>
                <c:pt idx="4">
                  <c:v>291</c:v>
                </c:pt>
                <c:pt idx="5">
                  <c:v>315</c:v>
                </c:pt>
                <c:pt idx="6">
                  <c:v>336.7</c:v>
                </c:pt>
                <c:pt idx="7">
                  <c:v>357.7</c:v>
                </c:pt>
                <c:pt idx="8">
                  <c:v>379.4</c:v>
                </c:pt>
                <c:pt idx="9">
                  <c:v>401.09999999999997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B-4D39-90CB-8EBE43F7CA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72061424"/>
        <c:axId val="1572059504"/>
      </c:barChart>
      <c:catAx>
        <c:axId val="157206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2059504"/>
        <c:crosses val="autoZero"/>
        <c:auto val="1"/>
        <c:lblAlgn val="ctr"/>
        <c:lblOffset val="100"/>
        <c:noMultiLvlLbl val="0"/>
      </c:catAx>
      <c:valAx>
        <c:axId val="15720595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7206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ponto de equilíbrio - lote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'PE GLOBAL'!$U$4:$U$15</c:f>
              <c:strCache>
                <c:ptCount val="12"/>
                <c:pt idx="0">
                  <c:v>LOTE 1</c:v>
                </c:pt>
                <c:pt idx="1">
                  <c:v>jan/26</c:v>
                </c:pt>
                <c:pt idx="2">
                  <c:v>fev/26</c:v>
                </c:pt>
                <c:pt idx="3">
                  <c:v>mar/26</c:v>
                </c:pt>
                <c:pt idx="4">
                  <c:v>abr/26</c:v>
                </c:pt>
                <c:pt idx="5">
                  <c:v>mai/26</c:v>
                </c:pt>
                <c:pt idx="6">
                  <c:v>jun/26</c:v>
                </c:pt>
                <c:pt idx="7">
                  <c:v>jul/26</c:v>
                </c:pt>
                <c:pt idx="8">
                  <c:v>ago/26</c:v>
                </c:pt>
                <c:pt idx="9">
                  <c:v>set/26</c:v>
                </c:pt>
                <c:pt idx="10">
                  <c:v>out/26</c:v>
                </c:pt>
                <c:pt idx="11">
                  <c:v>nov/26</c:v>
                </c:pt>
              </c:strCache>
            </c:strRef>
          </c:cat>
          <c:val>
            <c:numRef>
              <c:f>'PE GLOBAL'!$V$4:$V$15</c:f>
              <c:numCache>
                <c:formatCode>0.00</c:formatCode>
                <c:ptCount val="12"/>
                <c:pt idx="1">
                  <c:v>374.70886075949369</c:v>
                </c:pt>
                <c:pt idx="2">
                  <c:v>349.80252583237655</c:v>
                </c:pt>
                <c:pt idx="3">
                  <c:v>327.05306971904264</c:v>
                </c:pt>
                <c:pt idx="4">
                  <c:v>312.48860353130016</c:v>
                </c:pt>
                <c:pt idx="5">
                  <c:v>303.59759398496237</c:v>
                </c:pt>
                <c:pt idx="6">
                  <c:v>297.24206349206344</c:v>
                </c:pt>
                <c:pt idx="7">
                  <c:v>293.80149812734078</c:v>
                </c:pt>
                <c:pt idx="8">
                  <c:v>293.00658561296854</c:v>
                </c:pt>
                <c:pt idx="9">
                  <c:v>297.68377823408616</c:v>
                </c:pt>
                <c:pt idx="10">
                  <c:v>301.63625077591558</c:v>
                </c:pt>
                <c:pt idx="11">
                  <c:v>277.10464554428103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E-44B7-9561-4D2ACDCC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61207856"/>
        <c:axId val="1061208336"/>
      </c:lineChart>
      <c:catAx>
        <c:axId val="10612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208336"/>
        <c:crosses val="autoZero"/>
        <c:auto val="1"/>
        <c:lblAlgn val="ctr"/>
        <c:lblOffset val="100"/>
        <c:noMultiLvlLbl val="0"/>
      </c:catAx>
      <c:valAx>
        <c:axId val="1061208336"/>
        <c:scaling>
          <c:orientation val="minMax"/>
          <c:min val="2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2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 DA @ PRODUZIDA- lote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'PE GLOBAL'!$U$19:$U$30</c:f>
              <c:strCache>
                <c:ptCount val="12"/>
                <c:pt idx="0">
                  <c:v>LOTE 1</c:v>
                </c:pt>
                <c:pt idx="1">
                  <c:v>jan/26</c:v>
                </c:pt>
                <c:pt idx="2">
                  <c:v>fev/26</c:v>
                </c:pt>
                <c:pt idx="3">
                  <c:v>mar/26</c:v>
                </c:pt>
                <c:pt idx="4">
                  <c:v>abr/26</c:v>
                </c:pt>
                <c:pt idx="5">
                  <c:v>mai/26</c:v>
                </c:pt>
                <c:pt idx="6">
                  <c:v>jun/26</c:v>
                </c:pt>
                <c:pt idx="7">
                  <c:v>jul/26</c:v>
                </c:pt>
                <c:pt idx="8">
                  <c:v>ago/26</c:v>
                </c:pt>
                <c:pt idx="9">
                  <c:v>set/26</c:v>
                </c:pt>
                <c:pt idx="10">
                  <c:v>out/26</c:v>
                </c:pt>
                <c:pt idx="11">
                  <c:v>nov/26</c:v>
                </c:pt>
              </c:strCache>
            </c:strRef>
          </c:cat>
          <c:val>
            <c:numRef>
              <c:f>'PE GLOBAL'!$V$19:$V$30</c:f>
              <c:numCache>
                <c:formatCode>0.00</c:formatCode>
                <c:ptCount val="12"/>
                <c:pt idx="1">
                  <c:v>100.22222222222223</c:v>
                </c:pt>
                <c:pt idx="2">
                  <c:v>106.88888888888889</c:v>
                </c:pt>
                <c:pt idx="3">
                  <c:v>106.8888888888889</c:v>
                </c:pt>
                <c:pt idx="4">
                  <c:v>131.5</c:v>
                </c:pt>
                <c:pt idx="5">
                  <c:v>171.71428571428572</c:v>
                </c:pt>
                <c:pt idx="6">
                  <c:v>193.14285714285717</c:v>
                </c:pt>
                <c:pt idx="7">
                  <c:v>236</c:v>
                </c:pt>
                <c:pt idx="8">
                  <c:v>278.85714285714283</c:v>
                </c:pt>
                <c:pt idx="9">
                  <c:v>340.13333333333338</c:v>
                </c:pt>
                <c:pt idx="10">
                  <c:v>340.13333333333333</c:v>
                </c:pt>
                <c:pt idx="11">
                  <c:v>309.21212121212125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D-4991-A74E-DB60CACFE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61207856"/>
        <c:axId val="1061208336"/>
      </c:lineChart>
      <c:catAx>
        <c:axId val="10612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208336"/>
        <c:crosses val="autoZero"/>
        <c:auto val="1"/>
        <c:lblAlgn val="ctr"/>
        <c:lblOffset val="100"/>
        <c:noMultiLvlLbl val="0"/>
      </c:catAx>
      <c:valAx>
        <c:axId val="1061208336"/>
        <c:scaling>
          <c:orientation val="minMax"/>
          <c:min val="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2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CUSTOS FIXOS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pt-BR" sz="1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CUSTOS FIXOS</a:t>
          </a:r>
        </a:p>
      </cx:txPr>
    </cx:title>
    <cx:plotArea>
      <cx:plotAreaRegion>
        <cx:series layoutId="treemap" uniqueId="{668BC041-4F1B-403C-9A75-73F6B4F96F65}">
          <cx:tx>
            <cx:txData>
              <cx:f>_xlchart.v1.1</cx:f>
              <cx:v/>
            </cx:txData>
          </cx:tx>
          <cx:dataLabels pos="inEnd">
            <cx:visibility seriesName="0" categoryName="1" value="0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  <cx:data id="1">
      <cx:strDim type="cat">
        <cx:f>_xlchart.v1.3</cx:f>
      </cx:strDim>
      <cx:numDim type="size">
        <cx:f>_xlchart.v1.7</cx:f>
      </cx:numDim>
    </cx:data>
  </cx:chartData>
  <cx:chart>
    <cx:title pos="t" align="ctr" overlay="0">
      <cx:tx>
        <cx:txData>
          <cx:v>CUSTOS FIXOS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pt-BR" sz="1400" b="1" i="0" u="none" strike="noStrike" baseline="0">
              <a:solidFill>
                <a:sysClr val="windowText" lastClr="000000"/>
              </a:solidFill>
              <a:latin typeface="Aptos Narrow" panose="02110004020202020204"/>
            </a:rPr>
            <a:t>CUSTOS FIXOS</a:t>
          </a:r>
        </a:p>
      </cx:txPr>
    </cx:title>
    <cx:plotArea>
      <cx:plotAreaRegion>
        <cx:series layoutId="treemap" uniqueId="{160FA66E-E35D-429F-9BEB-E01F7DD04DE1}" formatIdx="0">
          <cx:tx>
            <cx:txData>
              <cx:f>_xlchart.v1.4</cx:f>
              <cx:v/>
            </cx:txData>
          </cx:tx>
          <cx:dataLabels/>
          <cx:dataId val="0"/>
          <cx:layoutPr/>
        </cx:series>
        <cx:series layoutId="treemap" hidden="1" uniqueId="{D6535B70-CAA5-4FB7-BC26-582A7B234036}" formatIdx="1">
          <cx:tx>
            <cx:txData>
              <cx:f>_xlchart.v1.6</cx:f>
              <cx:v/>
            </cx:txData>
          </cx:tx>
          <cx:dataId val="1"/>
          <cx:layoutPr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205740</xdr:colOff>
      <xdr:row>21</xdr:row>
      <xdr:rowOff>179070</xdr:rowOff>
    </xdr:from>
    <xdr:to>
      <xdr:col>26</xdr:col>
      <xdr:colOff>403860</xdr:colOff>
      <xdr:row>31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EA9ED4-A863-16CC-499F-5805AAF67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106680</xdr:colOff>
      <xdr:row>3</xdr:row>
      <xdr:rowOff>0</xdr:rowOff>
    </xdr:from>
    <xdr:to>
      <xdr:col>28</xdr:col>
      <xdr:colOff>556260</xdr:colOff>
      <xdr:row>15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3CD0D2-E360-840C-5B17-ADA787102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114300</xdr:colOff>
      <xdr:row>18</xdr:row>
      <xdr:rowOff>7620</xdr:rowOff>
    </xdr:from>
    <xdr:to>
      <xdr:col>28</xdr:col>
      <xdr:colOff>411480</xdr:colOff>
      <xdr:row>30</xdr:row>
      <xdr:rowOff>7620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116E9E4-D68D-4C39-B888-C4A029BAE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297180</xdr:colOff>
      <xdr:row>1</xdr:row>
      <xdr:rowOff>179070</xdr:rowOff>
    </xdr:from>
    <xdr:to>
      <xdr:col>19</xdr:col>
      <xdr:colOff>403860</xdr:colOff>
      <xdr:row>23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E584A6F-F249-B4EF-23A2-4EBA8A352E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99960" y="361950"/>
              <a:ext cx="6202680" cy="3882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304800</xdr:colOff>
      <xdr:row>25</xdr:row>
      <xdr:rowOff>175260</xdr:rowOff>
    </xdr:from>
    <xdr:to>
      <xdr:col>19</xdr:col>
      <xdr:colOff>411480</xdr:colOff>
      <xdr:row>47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A51FD99-2955-4F1B-90AE-46C60F46D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7580" y="4770120"/>
              <a:ext cx="6202680" cy="3882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283F-E082-4386-8F46-6F6C738BD235}">
  <dimension ref="B1:K48"/>
  <sheetViews>
    <sheetView workbookViewId="0">
      <selection activeCell="B13" sqref="B13"/>
    </sheetView>
  </sheetViews>
  <sheetFormatPr defaultRowHeight="14.4" x14ac:dyDescent="0.3"/>
  <cols>
    <col min="1" max="7" width="8.88671875" style="1"/>
    <col min="8" max="8" width="75.77734375" style="1" bestFit="1" customWidth="1"/>
    <col min="9" max="9" width="10.6640625" style="2" bestFit="1" customWidth="1"/>
    <col min="10" max="11" width="8.88671875" style="2"/>
    <col min="12" max="16384" width="8.88671875" style="1"/>
  </cols>
  <sheetData>
    <row r="1" spans="2:10" ht="15" thickBot="1" x14ac:dyDescent="0.35"/>
    <row r="2" spans="2:10" ht="15" customHeight="1" thickBot="1" x14ac:dyDescent="0.35">
      <c r="B2" s="202" t="s">
        <v>249</v>
      </c>
      <c r="C2" s="203"/>
      <c r="D2" s="203"/>
      <c r="E2" s="203"/>
      <c r="H2" s="173" t="s">
        <v>191</v>
      </c>
      <c r="I2" s="175" t="s">
        <v>190</v>
      </c>
      <c r="J2" s="176"/>
    </row>
    <row r="3" spans="2:10" ht="15" thickBot="1" x14ac:dyDescent="0.35">
      <c r="B3" s="203"/>
      <c r="C3" s="203"/>
      <c r="D3" s="203"/>
      <c r="E3" s="203"/>
      <c r="H3" s="174"/>
      <c r="I3" s="177" t="s">
        <v>165</v>
      </c>
      <c r="J3" s="178" t="s">
        <v>168</v>
      </c>
    </row>
    <row r="4" spans="2:10" x14ac:dyDescent="0.3">
      <c r="B4" s="203"/>
      <c r="C4" s="203"/>
      <c r="D4" s="203"/>
      <c r="E4" s="203"/>
      <c r="H4" s="165" t="s">
        <v>182</v>
      </c>
      <c r="I4" s="169" t="s">
        <v>167</v>
      </c>
      <c r="J4" s="163"/>
    </row>
    <row r="5" spans="2:10" x14ac:dyDescent="0.3">
      <c r="B5" s="203"/>
      <c r="C5" s="203"/>
      <c r="D5" s="203"/>
      <c r="E5" s="203"/>
      <c r="H5" s="166" t="s">
        <v>183</v>
      </c>
      <c r="I5" s="170" t="s">
        <v>167</v>
      </c>
      <c r="J5" s="161"/>
    </row>
    <row r="6" spans="2:10" x14ac:dyDescent="0.3">
      <c r="B6" s="203"/>
      <c r="C6" s="203"/>
      <c r="D6" s="203"/>
      <c r="E6" s="203"/>
      <c r="H6" s="166" t="s">
        <v>184</v>
      </c>
      <c r="I6" s="170" t="s">
        <v>167</v>
      </c>
      <c r="J6" s="161"/>
    </row>
    <row r="7" spans="2:10" x14ac:dyDescent="0.3">
      <c r="B7" s="203"/>
      <c r="C7" s="203"/>
      <c r="D7" s="203"/>
      <c r="E7" s="203"/>
      <c r="H7" s="166" t="s">
        <v>185</v>
      </c>
      <c r="I7" s="170" t="s">
        <v>167</v>
      </c>
      <c r="J7" s="161"/>
    </row>
    <row r="8" spans="2:10" x14ac:dyDescent="0.3">
      <c r="B8" s="203"/>
      <c r="C8" s="203"/>
      <c r="D8" s="203"/>
      <c r="E8" s="203"/>
      <c r="H8" s="166" t="s">
        <v>186</v>
      </c>
      <c r="I8" s="170" t="s">
        <v>167</v>
      </c>
      <c r="J8" s="161"/>
    </row>
    <row r="9" spans="2:10" ht="15" thickBot="1" x14ac:dyDescent="0.35">
      <c r="B9" s="203"/>
      <c r="C9" s="203"/>
      <c r="D9" s="203"/>
      <c r="E9" s="203"/>
      <c r="H9" s="167" t="s">
        <v>187</v>
      </c>
      <c r="I9" s="171" t="s">
        <v>167</v>
      </c>
      <c r="J9" s="164"/>
    </row>
    <row r="10" spans="2:10" ht="16.2" thickBot="1" x14ac:dyDescent="0.35">
      <c r="B10" s="203"/>
      <c r="C10" s="203"/>
      <c r="D10" s="203"/>
      <c r="E10" s="203"/>
      <c r="H10" s="205" t="s">
        <v>220</v>
      </c>
      <c r="I10" s="177"/>
      <c r="J10" s="178"/>
    </row>
    <row r="11" spans="2:10" x14ac:dyDescent="0.3">
      <c r="B11" s="203"/>
      <c r="C11" s="203"/>
      <c r="D11" s="203"/>
      <c r="E11" s="203"/>
      <c r="H11" s="165" t="s">
        <v>188</v>
      </c>
      <c r="I11" s="169" t="s">
        <v>167</v>
      </c>
      <c r="J11" s="163"/>
    </row>
    <row r="12" spans="2:10" x14ac:dyDescent="0.3">
      <c r="B12" s="203"/>
      <c r="C12" s="203"/>
      <c r="D12" s="203"/>
      <c r="E12" s="203"/>
      <c r="H12" s="166" t="s">
        <v>189</v>
      </c>
      <c r="I12" s="170" t="s">
        <v>167</v>
      </c>
      <c r="J12" s="161"/>
    </row>
    <row r="13" spans="2:10" x14ac:dyDescent="0.3">
      <c r="H13" s="166" t="s">
        <v>181</v>
      </c>
      <c r="I13" s="170"/>
      <c r="J13" s="161" t="s">
        <v>167</v>
      </c>
    </row>
    <row r="14" spans="2:10" x14ac:dyDescent="0.3">
      <c r="H14" s="166" t="s">
        <v>180</v>
      </c>
      <c r="I14" s="170" t="s">
        <v>167</v>
      </c>
      <c r="J14" s="161"/>
    </row>
    <row r="15" spans="2:10" x14ac:dyDescent="0.3">
      <c r="H15" s="166" t="s">
        <v>145</v>
      </c>
      <c r="I15" s="170"/>
      <c r="J15" s="161" t="s">
        <v>167</v>
      </c>
    </row>
    <row r="16" spans="2:10" x14ac:dyDescent="0.3">
      <c r="H16" s="166" t="s">
        <v>178</v>
      </c>
      <c r="I16" s="170"/>
      <c r="J16" s="161" t="s">
        <v>167</v>
      </c>
    </row>
    <row r="17" spans="8:10" x14ac:dyDescent="0.3">
      <c r="H17" s="166" t="s">
        <v>179</v>
      </c>
      <c r="I17" s="170" t="s">
        <v>167</v>
      </c>
      <c r="J17" s="161"/>
    </row>
    <row r="18" spans="8:10" x14ac:dyDescent="0.3">
      <c r="H18" s="166" t="s">
        <v>177</v>
      </c>
      <c r="I18" s="170"/>
      <c r="J18" s="161" t="s">
        <v>167</v>
      </c>
    </row>
    <row r="19" spans="8:10" x14ac:dyDescent="0.3">
      <c r="H19" s="166" t="s">
        <v>176</v>
      </c>
      <c r="I19" s="170" t="s">
        <v>167</v>
      </c>
      <c r="J19" s="161"/>
    </row>
    <row r="20" spans="8:10" ht="15" thickBot="1" x14ac:dyDescent="0.35">
      <c r="H20" s="167" t="s">
        <v>146</v>
      </c>
      <c r="I20" s="171"/>
      <c r="J20" s="164" t="s">
        <v>167</v>
      </c>
    </row>
    <row r="21" spans="8:10" ht="16.2" thickBot="1" x14ac:dyDescent="0.35">
      <c r="H21" s="205" t="s">
        <v>221</v>
      </c>
      <c r="I21" s="177"/>
      <c r="J21" s="178"/>
    </row>
    <row r="22" spans="8:10" x14ac:dyDescent="0.3">
      <c r="H22" s="165" t="s">
        <v>175</v>
      </c>
      <c r="I22" s="169" t="s">
        <v>167</v>
      </c>
      <c r="J22" s="163"/>
    </row>
    <row r="23" spans="8:10" x14ac:dyDescent="0.3">
      <c r="H23" s="166" t="s">
        <v>174</v>
      </c>
      <c r="I23" s="170" t="s">
        <v>167</v>
      </c>
      <c r="J23" s="161"/>
    </row>
    <row r="24" spans="8:10" x14ac:dyDescent="0.3">
      <c r="H24" s="166" t="s">
        <v>147</v>
      </c>
      <c r="I24" s="170" t="s">
        <v>167</v>
      </c>
      <c r="J24" s="161"/>
    </row>
    <row r="25" spans="8:10" x14ac:dyDescent="0.3">
      <c r="H25" s="166" t="s">
        <v>169</v>
      </c>
      <c r="I25" s="170" t="s">
        <v>167</v>
      </c>
      <c r="J25" s="161"/>
    </row>
    <row r="26" spans="8:10" x14ac:dyDescent="0.3">
      <c r="H26" s="166" t="s">
        <v>148</v>
      </c>
      <c r="I26" s="170" t="s">
        <v>167</v>
      </c>
      <c r="J26" s="161"/>
    </row>
    <row r="27" spans="8:10" x14ac:dyDescent="0.3">
      <c r="H27" s="166" t="s">
        <v>149</v>
      </c>
      <c r="I27" s="170" t="s">
        <v>167</v>
      </c>
      <c r="J27" s="161"/>
    </row>
    <row r="28" spans="8:10" x14ac:dyDescent="0.3">
      <c r="H28" s="166" t="s">
        <v>150</v>
      </c>
      <c r="I28" s="170" t="s">
        <v>167</v>
      </c>
      <c r="J28" s="161"/>
    </row>
    <row r="29" spans="8:10" x14ac:dyDescent="0.3">
      <c r="H29" s="166" t="s">
        <v>151</v>
      </c>
      <c r="I29" s="170" t="s">
        <v>167</v>
      </c>
      <c r="J29" s="161"/>
    </row>
    <row r="30" spans="8:10" x14ac:dyDescent="0.3">
      <c r="H30" s="166" t="s">
        <v>152</v>
      </c>
      <c r="I30" s="170" t="s">
        <v>167</v>
      </c>
      <c r="J30" s="161"/>
    </row>
    <row r="31" spans="8:10" x14ac:dyDescent="0.3">
      <c r="H31" s="166" t="s">
        <v>153</v>
      </c>
      <c r="I31" s="170" t="s">
        <v>167</v>
      </c>
      <c r="J31" s="161"/>
    </row>
    <row r="32" spans="8:10" ht="15" thickBot="1" x14ac:dyDescent="0.35">
      <c r="H32" s="167" t="s">
        <v>154</v>
      </c>
      <c r="I32" s="171" t="s">
        <v>167</v>
      </c>
      <c r="J32" s="164"/>
    </row>
    <row r="33" spans="8:10" ht="16.2" thickBot="1" x14ac:dyDescent="0.35">
      <c r="H33" s="205" t="s">
        <v>222</v>
      </c>
      <c r="I33" s="177"/>
      <c r="J33" s="178"/>
    </row>
    <row r="34" spans="8:10" x14ac:dyDescent="0.3">
      <c r="H34" s="165" t="s">
        <v>155</v>
      </c>
      <c r="I34" s="169" t="s">
        <v>167</v>
      </c>
      <c r="J34" s="163"/>
    </row>
    <row r="35" spans="8:10" x14ac:dyDescent="0.3">
      <c r="H35" s="166" t="s">
        <v>156</v>
      </c>
      <c r="I35" s="170"/>
      <c r="J35" s="161" t="s">
        <v>167</v>
      </c>
    </row>
    <row r="36" spans="8:10" x14ac:dyDescent="0.3">
      <c r="H36" s="166" t="s">
        <v>173</v>
      </c>
      <c r="I36" s="170" t="s">
        <v>167</v>
      </c>
      <c r="J36" s="161"/>
    </row>
    <row r="37" spans="8:10" x14ac:dyDescent="0.3">
      <c r="H37" s="166" t="s">
        <v>157</v>
      </c>
      <c r="I37" s="170"/>
      <c r="J37" s="161" t="s">
        <v>167</v>
      </c>
    </row>
    <row r="38" spans="8:10" x14ac:dyDescent="0.3">
      <c r="H38" s="166" t="s">
        <v>158</v>
      </c>
      <c r="I38" s="170" t="s">
        <v>167</v>
      </c>
      <c r="J38" s="161"/>
    </row>
    <row r="39" spans="8:10" x14ac:dyDescent="0.3">
      <c r="H39" s="166" t="s">
        <v>159</v>
      </c>
      <c r="I39" s="170"/>
      <c r="J39" s="161" t="s">
        <v>167</v>
      </c>
    </row>
    <row r="40" spans="8:10" ht="15" thickBot="1" x14ac:dyDescent="0.35">
      <c r="H40" s="167" t="s">
        <v>170</v>
      </c>
      <c r="I40" s="171" t="s">
        <v>167</v>
      </c>
      <c r="J40" s="164"/>
    </row>
    <row r="41" spans="8:10" ht="16.2" thickBot="1" x14ac:dyDescent="0.35">
      <c r="H41" s="179" t="s">
        <v>223</v>
      </c>
      <c r="I41" s="177"/>
      <c r="J41" s="178"/>
    </row>
    <row r="42" spans="8:10" x14ac:dyDescent="0.3">
      <c r="H42" s="165" t="s">
        <v>172</v>
      </c>
      <c r="I42" s="169"/>
      <c r="J42" s="163" t="s">
        <v>167</v>
      </c>
    </row>
    <row r="43" spans="8:10" x14ac:dyDescent="0.3">
      <c r="H43" s="166" t="s">
        <v>171</v>
      </c>
      <c r="I43" s="170" t="s">
        <v>167</v>
      </c>
      <c r="J43" s="161"/>
    </row>
    <row r="44" spans="8:10" x14ac:dyDescent="0.3">
      <c r="H44" s="166" t="s">
        <v>160</v>
      </c>
      <c r="I44" s="170"/>
      <c r="J44" s="161" t="s">
        <v>167</v>
      </c>
    </row>
    <row r="45" spans="8:10" x14ac:dyDescent="0.3">
      <c r="H45" s="166" t="s">
        <v>161</v>
      </c>
      <c r="I45" s="170"/>
      <c r="J45" s="161" t="s">
        <v>167</v>
      </c>
    </row>
    <row r="46" spans="8:10" x14ac:dyDescent="0.3">
      <c r="H46" s="166" t="s">
        <v>162</v>
      </c>
      <c r="I46" s="170"/>
      <c r="J46" s="161" t="s">
        <v>167</v>
      </c>
    </row>
    <row r="47" spans="8:10" x14ac:dyDescent="0.3">
      <c r="H47" s="166" t="s">
        <v>163</v>
      </c>
      <c r="I47" s="170"/>
      <c r="J47" s="161" t="s">
        <v>167</v>
      </c>
    </row>
    <row r="48" spans="8:10" ht="15" thickBot="1" x14ac:dyDescent="0.35">
      <c r="H48" s="168" t="s">
        <v>164</v>
      </c>
      <c r="I48" s="172"/>
      <c r="J48" s="162" t="s">
        <v>167</v>
      </c>
    </row>
  </sheetData>
  <mergeCells count="3">
    <mergeCell ref="I2:J2"/>
    <mergeCell ref="H2:H3"/>
    <mergeCell ref="B2:E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4A5B-0D8E-4C33-AC8F-BA6324997929}">
  <dimension ref="B3:AA68"/>
  <sheetViews>
    <sheetView topLeftCell="G33" workbookViewId="0">
      <selection activeCell="B23" sqref="B23:E33"/>
    </sheetView>
  </sheetViews>
  <sheetFormatPr defaultRowHeight="14.4" x14ac:dyDescent="0.3"/>
  <cols>
    <col min="1" max="6" width="8.88671875" style="1"/>
    <col min="7" max="7" width="76" style="1" bestFit="1" customWidth="1"/>
    <col min="8" max="8" width="12.77734375" style="1" customWidth="1"/>
    <col min="9" max="9" width="9.109375" style="1" bestFit="1" customWidth="1"/>
    <col min="10" max="13" width="8.88671875" style="1"/>
    <col min="14" max="14" width="24" style="1" bestFit="1" customWidth="1"/>
    <col min="15" max="19" width="10.109375" style="1" bestFit="1" customWidth="1"/>
    <col min="20" max="16384" width="8.88671875" style="1"/>
  </cols>
  <sheetData>
    <row r="3" spans="7:16" ht="15" thickBot="1" x14ac:dyDescent="0.35"/>
    <row r="4" spans="7:16" x14ac:dyDescent="0.3">
      <c r="G4" s="188" t="s">
        <v>192</v>
      </c>
      <c r="H4" s="181"/>
    </row>
    <row r="5" spans="7:16" ht="15" thickBot="1" x14ac:dyDescent="0.35">
      <c r="G5" s="189" t="s">
        <v>199</v>
      </c>
    </row>
    <row r="6" spans="7:16" x14ac:dyDescent="0.3">
      <c r="G6" s="189" t="s">
        <v>200</v>
      </c>
      <c r="H6" s="192" t="s">
        <v>37</v>
      </c>
      <c r="I6" s="193"/>
      <c r="J6" s="193"/>
      <c r="K6" s="193"/>
      <c r="L6" s="193"/>
      <c r="M6" s="193"/>
      <c r="N6" s="194"/>
    </row>
    <row r="7" spans="7:16" x14ac:dyDescent="0.3">
      <c r="G7" s="190" t="s">
        <v>193</v>
      </c>
      <c r="H7" s="183"/>
      <c r="I7" s="184" t="s">
        <v>10</v>
      </c>
      <c r="J7" s="184" t="s">
        <v>12</v>
      </c>
      <c r="K7" s="184" t="s">
        <v>6</v>
      </c>
      <c r="L7" s="184" t="s">
        <v>7</v>
      </c>
      <c r="M7" s="184" t="s">
        <v>8</v>
      </c>
      <c r="N7" s="185" t="s">
        <v>194</v>
      </c>
    </row>
    <row r="8" spans="7:16" x14ac:dyDescent="0.3">
      <c r="G8" s="189" t="s">
        <v>195</v>
      </c>
      <c r="H8" s="186" t="s">
        <v>3</v>
      </c>
      <c r="I8" s="4" t="s">
        <v>11</v>
      </c>
      <c r="J8" s="4">
        <v>10</v>
      </c>
      <c r="K8" s="4">
        <v>200</v>
      </c>
      <c r="L8" s="4">
        <v>210</v>
      </c>
      <c r="M8" s="6">
        <f>L8/30</f>
        <v>7</v>
      </c>
      <c r="N8" s="7">
        <f>410*M8</f>
        <v>2870</v>
      </c>
    </row>
    <row r="9" spans="7:16" x14ac:dyDescent="0.3">
      <c r="G9" s="189" t="s">
        <v>196</v>
      </c>
      <c r="H9" s="186" t="s">
        <v>4</v>
      </c>
      <c r="I9" s="4" t="s">
        <v>11</v>
      </c>
      <c r="J9" s="4">
        <v>12</v>
      </c>
      <c r="K9" s="4">
        <v>500</v>
      </c>
      <c r="L9" s="4">
        <v>240</v>
      </c>
      <c r="M9" s="6">
        <f t="shared" ref="M9:M10" si="0">L9/30</f>
        <v>8</v>
      </c>
      <c r="N9" s="7">
        <f>400*M9</f>
        <v>3200</v>
      </c>
    </row>
    <row r="10" spans="7:16" ht="15" thickBot="1" x14ac:dyDescent="0.35">
      <c r="G10" s="189" t="s">
        <v>197</v>
      </c>
      <c r="H10" s="187" t="s">
        <v>5</v>
      </c>
      <c r="I10" s="9" t="s">
        <v>11</v>
      </c>
      <c r="J10" s="9">
        <v>14</v>
      </c>
      <c r="K10" s="9">
        <v>300</v>
      </c>
      <c r="L10" s="9">
        <v>270</v>
      </c>
      <c r="M10" s="10">
        <f t="shared" si="0"/>
        <v>9</v>
      </c>
      <c r="N10" s="11">
        <f>390*M10</f>
        <v>3510</v>
      </c>
    </row>
    <row r="11" spans="7:16" ht="15" thickBot="1" x14ac:dyDescent="0.35">
      <c r="G11" s="191" t="s">
        <v>198</v>
      </c>
    </row>
    <row r="13" spans="7:16" ht="15" thickBot="1" x14ac:dyDescent="0.35"/>
    <row r="14" spans="7:16" ht="15" thickBot="1" x14ac:dyDescent="0.35">
      <c r="G14" s="198" t="s">
        <v>201</v>
      </c>
    </row>
    <row r="15" spans="7:16" x14ac:dyDescent="0.3">
      <c r="G15" s="190" t="s">
        <v>202</v>
      </c>
      <c r="H15" s="197" t="s">
        <v>41</v>
      </c>
      <c r="I15" s="193"/>
      <c r="J15" s="193"/>
      <c r="K15" s="193"/>
      <c r="L15" s="193"/>
      <c r="M15" s="193"/>
      <c r="N15" s="193"/>
      <c r="O15" s="193"/>
      <c r="P15" s="194"/>
    </row>
    <row r="16" spans="7:16" x14ac:dyDescent="0.3">
      <c r="G16" s="189" t="s">
        <v>204</v>
      </c>
      <c r="H16" s="186"/>
      <c r="I16" s="4" t="s">
        <v>13</v>
      </c>
      <c r="J16" s="4" t="s">
        <v>16</v>
      </c>
      <c r="K16" s="4" t="s">
        <v>17</v>
      </c>
      <c r="L16" s="4" t="s">
        <v>18</v>
      </c>
      <c r="M16" s="4" t="s">
        <v>19</v>
      </c>
      <c r="N16" s="4" t="s">
        <v>20</v>
      </c>
      <c r="O16" s="4" t="s">
        <v>27</v>
      </c>
      <c r="P16" s="12" t="s">
        <v>28</v>
      </c>
    </row>
    <row r="17" spans="2:27" ht="15" thickBot="1" x14ac:dyDescent="0.35">
      <c r="G17" s="191" t="s">
        <v>206</v>
      </c>
      <c r="H17" s="186"/>
      <c r="I17" s="4" t="s">
        <v>21</v>
      </c>
      <c r="J17" s="4" t="s">
        <v>203</v>
      </c>
      <c r="K17" s="4" t="s">
        <v>23</v>
      </c>
      <c r="L17" s="4" t="s">
        <v>24</v>
      </c>
      <c r="M17" s="4" t="s">
        <v>25</v>
      </c>
      <c r="N17" s="4" t="s">
        <v>29</v>
      </c>
      <c r="O17" s="4" t="s">
        <v>30</v>
      </c>
      <c r="P17" s="4" t="s">
        <v>32</v>
      </c>
    </row>
    <row r="18" spans="2:27" x14ac:dyDescent="0.3">
      <c r="H18" s="3" t="s">
        <v>3</v>
      </c>
      <c r="I18" s="13">
        <v>0.9</v>
      </c>
      <c r="J18" s="13">
        <v>0.9</v>
      </c>
      <c r="K18" s="13">
        <v>0.9</v>
      </c>
      <c r="L18" s="4">
        <v>0.8</v>
      </c>
      <c r="M18" s="4">
        <v>0.7</v>
      </c>
      <c r="N18" s="4">
        <v>0.7</v>
      </c>
      <c r="O18" s="4">
        <v>0.7</v>
      </c>
      <c r="P18" s="12">
        <v>0.7</v>
      </c>
    </row>
    <row r="19" spans="2:27" x14ac:dyDescent="0.3">
      <c r="H19" s="3" t="s">
        <v>4</v>
      </c>
      <c r="I19" s="4">
        <v>0.9</v>
      </c>
      <c r="J19" s="4">
        <v>0.9</v>
      </c>
      <c r="K19" s="4">
        <v>0.9</v>
      </c>
      <c r="L19" s="4">
        <v>0.8</v>
      </c>
      <c r="M19" s="4">
        <v>0.7</v>
      </c>
      <c r="N19" s="4">
        <v>0.7</v>
      </c>
      <c r="O19" s="4">
        <v>0.7</v>
      </c>
      <c r="P19" s="12">
        <v>0.7</v>
      </c>
    </row>
    <row r="20" spans="2:27" ht="15" thickBot="1" x14ac:dyDescent="0.35">
      <c r="H20" s="8" t="s">
        <v>5</v>
      </c>
      <c r="I20" s="9">
        <v>0.9</v>
      </c>
      <c r="J20" s="9">
        <v>0.9</v>
      </c>
      <c r="K20" s="9">
        <v>0.9</v>
      </c>
      <c r="L20" s="9">
        <v>0.8</v>
      </c>
      <c r="M20" s="9">
        <v>0.7</v>
      </c>
      <c r="N20" s="9">
        <v>0.7</v>
      </c>
      <c r="O20" s="9">
        <v>0.7</v>
      </c>
      <c r="P20" s="14">
        <v>0.7</v>
      </c>
    </row>
    <row r="21" spans="2:27" x14ac:dyDescent="0.3">
      <c r="T21" s="180"/>
      <c r="U21" s="180"/>
      <c r="V21" s="180"/>
      <c r="W21" s="180"/>
      <c r="X21" s="180"/>
      <c r="Y21" s="180"/>
      <c r="Z21" s="180"/>
      <c r="AA21" s="180"/>
    </row>
    <row r="22" spans="2:27" x14ac:dyDescent="0.3">
      <c r="T22" s="180"/>
      <c r="U22" s="180"/>
      <c r="V22" s="180"/>
      <c r="W22" s="180"/>
      <c r="X22" s="180"/>
      <c r="Y22" s="180"/>
      <c r="Z22" s="180"/>
      <c r="AA22" s="180"/>
    </row>
    <row r="23" spans="2:27" ht="15" thickBot="1" x14ac:dyDescent="0.35">
      <c r="B23" s="202" t="s">
        <v>224</v>
      </c>
      <c r="C23" s="203"/>
      <c r="D23" s="203"/>
      <c r="E23" s="203"/>
      <c r="G23" s="180" t="s">
        <v>205</v>
      </c>
      <c r="T23" s="199" t="s">
        <v>3</v>
      </c>
      <c r="U23" s="200"/>
      <c r="V23" s="180"/>
      <c r="W23" s="180"/>
      <c r="X23" s="180"/>
      <c r="Y23" s="180"/>
      <c r="Z23" s="180"/>
      <c r="AA23" s="180"/>
    </row>
    <row r="24" spans="2:27" x14ac:dyDescent="0.3">
      <c r="B24" s="203"/>
      <c r="C24" s="203"/>
      <c r="D24" s="203"/>
      <c r="E24" s="203"/>
      <c r="G24" s="183" t="s">
        <v>213</v>
      </c>
      <c r="H24" s="192" t="s">
        <v>40</v>
      </c>
      <c r="I24" s="193"/>
      <c r="J24" s="193"/>
      <c r="K24" s="193"/>
      <c r="L24" s="193"/>
      <c r="M24" s="193"/>
      <c r="N24" s="193"/>
      <c r="O24" s="193"/>
      <c r="P24" s="193"/>
      <c r="Q24" s="194"/>
      <c r="T24" s="182">
        <v>0</v>
      </c>
      <c r="U24" s="201">
        <f>I28</f>
        <v>210</v>
      </c>
      <c r="V24" s="180"/>
      <c r="W24" s="180"/>
      <c r="X24" s="180"/>
      <c r="Y24" s="180"/>
      <c r="Z24" s="180"/>
      <c r="AA24" s="180"/>
    </row>
    <row r="25" spans="2:27" x14ac:dyDescent="0.3">
      <c r="B25" s="203"/>
      <c r="C25" s="203"/>
      <c r="D25" s="203"/>
      <c r="E25" s="203"/>
      <c r="G25" s="1" t="s">
        <v>207</v>
      </c>
      <c r="H25" s="195">
        <v>1</v>
      </c>
      <c r="I25" s="4" t="s">
        <v>14</v>
      </c>
      <c r="J25" s="4" t="s">
        <v>13</v>
      </c>
      <c r="K25" s="4" t="s">
        <v>16</v>
      </c>
      <c r="L25" s="4" t="s">
        <v>17</v>
      </c>
      <c r="M25" s="4" t="s">
        <v>18</v>
      </c>
      <c r="N25" s="4" t="s">
        <v>19</v>
      </c>
      <c r="O25" s="4" t="s">
        <v>20</v>
      </c>
      <c r="P25" s="4" t="s">
        <v>27</v>
      </c>
      <c r="Q25" s="12" t="s">
        <v>28</v>
      </c>
      <c r="T25" s="182" t="s">
        <v>21</v>
      </c>
      <c r="U25" s="201">
        <f>J28</f>
        <v>237.9</v>
      </c>
      <c r="V25" s="180"/>
      <c r="W25" s="180"/>
      <c r="X25" s="180"/>
      <c r="Y25" s="180"/>
      <c r="Z25" s="180"/>
      <c r="AA25" s="180"/>
    </row>
    <row r="26" spans="2:27" x14ac:dyDescent="0.3">
      <c r="B26" s="203"/>
      <c r="C26" s="203"/>
      <c r="D26" s="203"/>
      <c r="E26" s="203"/>
      <c r="G26" s="1" t="s">
        <v>208</v>
      </c>
      <c r="H26" s="196"/>
      <c r="I26" s="4" t="s">
        <v>26</v>
      </c>
      <c r="J26" s="4" t="s">
        <v>21</v>
      </c>
      <c r="K26" s="4" t="s">
        <v>22</v>
      </c>
      <c r="L26" s="4" t="s">
        <v>23</v>
      </c>
      <c r="M26" s="4" t="s">
        <v>24</v>
      </c>
      <c r="N26" s="4" t="s">
        <v>25</v>
      </c>
      <c r="O26" s="4" t="s">
        <v>29</v>
      </c>
      <c r="P26" s="4" t="s">
        <v>30</v>
      </c>
      <c r="Q26" s="12" t="s">
        <v>32</v>
      </c>
      <c r="T26" s="182" t="s">
        <v>22</v>
      </c>
      <c r="U26" s="201">
        <f>K28</f>
        <v>263.10000000000002</v>
      </c>
      <c r="V26" s="180"/>
      <c r="W26" s="180"/>
      <c r="X26" s="180"/>
      <c r="Y26" s="180"/>
      <c r="Z26" s="180"/>
      <c r="AA26" s="180"/>
    </row>
    <row r="27" spans="2:27" x14ac:dyDescent="0.3">
      <c r="B27" s="203"/>
      <c r="C27" s="203"/>
      <c r="D27" s="203"/>
      <c r="E27" s="203"/>
      <c r="G27" s="1" t="s">
        <v>209</v>
      </c>
      <c r="H27" s="3" t="s">
        <v>36</v>
      </c>
      <c r="I27" s="4"/>
      <c r="J27" s="4">
        <v>31</v>
      </c>
      <c r="K27" s="4">
        <v>28</v>
      </c>
      <c r="L27" s="4">
        <v>31</v>
      </c>
      <c r="M27" s="4">
        <v>30</v>
      </c>
      <c r="N27" s="4">
        <v>31</v>
      </c>
      <c r="O27" s="4">
        <v>30</v>
      </c>
      <c r="P27" s="4">
        <v>31</v>
      </c>
      <c r="Q27" s="12">
        <v>31</v>
      </c>
      <c r="T27" s="182" t="s">
        <v>23</v>
      </c>
      <c r="U27" s="201">
        <f>L28</f>
        <v>291</v>
      </c>
      <c r="V27" s="180"/>
      <c r="W27" s="180"/>
      <c r="X27" s="180"/>
      <c r="Y27" s="180"/>
      <c r="Z27" s="180"/>
      <c r="AA27" s="180"/>
    </row>
    <row r="28" spans="2:27" x14ac:dyDescent="0.3">
      <c r="B28" s="203"/>
      <c r="C28" s="203"/>
      <c r="D28" s="203"/>
      <c r="E28" s="203"/>
      <c r="G28" s="1" t="s">
        <v>210</v>
      </c>
      <c r="H28" s="3" t="s">
        <v>3</v>
      </c>
      <c r="I28" s="4">
        <f>L8</f>
        <v>210</v>
      </c>
      <c r="J28" s="4">
        <f>(I18*J27)+I28</f>
        <v>237.9</v>
      </c>
      <c r="K28" s="4">
        <f t="shared" ref="K28:Q28" si="1">(J18*K27)+J28</f>
        <v>263.10000000000002</v>
      </c>
      <c r="L28" s="4">
        <f t="shared" si="1"/>
        <v>291</v>
      </c>
      <c r="M28" s="4">
        <f t="shared" si="1"/>
        <v>315</v>
      </c>
      <c r="N28" s="4">
        <f t="shared" si="1"/>
        <v>336.7</v>
      </c>
      <c r="O28" s="4">
        <f t="shared" si="1"/>
        <v>357.7</v>
      </c>
      <c r="P28" s="4">
        <f t="shared" si="1"/>
        <v>379.4</v>
      </c>
      <c r="Q28" s="12">
        <f t="shared" si="1"/>
        <v>401.09999999999997</v>
      </c>
      <c r="T28" s="182" t="s">
        <v>24</v>
      </c>
      <c r="U28" s="201">
        <f>M28</f>
        <v>315</v>
      </c>
      <c r="V28" s="180"/>
      <c r="W28" s="180"/>
      <c r="X28" s="180"/>
      <c r="Y28" s="180"/>
      <c r="Z28" s="180"/>
      <c r="AA28" s="180"/>
    </row>
    <row r="29" spans="2:27" x14ac:dyDescent="0.3">
      <c r="B29" s="203"/>
      <c r="C29" s="203"/>
      <c r="D29" s="203"/>
      <c r="E29" s="203"/>
      <c r="G29" s="1" t="s">
        <v>211</v>
      </c>
      <c r="H29" s="3" t="s">
        <v>4</v>
      </c>
      <c r="I29" s="4">
        <f t="shared" ref="I29:I30" si="2">L9</f>
        <v>240</v>
      </c>
      <c r="J29" s="4">
        <f>(I19*J27)+I29</f>
        <v>267.89999999999998</v>
      </c>
      <c r="K29" s="4">
        <f t="shared" ref="K29:Q29" si="3">(J19*K27)+J29</f>
        <v>293.09999999999997</v>
      </c>
      <c r="L29" s="4">
        <f t="shared" si="3"/>
        <v>320.99999999999994</v>
      </c>
      <c r="M29" s="4">
        <f t="shared" si="3"/>
        <v>344.99999999999994</v>
      </c>
      <c r="N29" s="4">
        <f t="shared" si="3"/>
        <v>366.69999999999993</v>
      </c>
      <c r="O29" s="4">
        <f t="shared" si="3"/>
        <v>387.69999999999993</v>
      </c>
      <c r="P29" s="4">
        <f t="shared" si="3"/>
        <v>409.39999999999992</v>
      </c>
      <c r="Q29" s="12">
        <f t="shared" si="3"/>
        <v>431.09999999999991</v>
      </c>
      <c r="T29" s="182" t="s">
        <v>25</v>
      </c>
      <c r="U29" s="201">
        <f>N28</f>
        <v>336.7</v>
      </c>
      <c r="V29" s="180"/>
      <c r="W29" s="180"/>
      <c r="X29" s="180"/>
      <c r="Y29" s="180"/>
      <c r="Z29" s="180"/>
      <c r="AA29" s="180"/>
    </row>
    <row r="30" spans="2:27" ht="15" thickBot="1" x14ac:dyDescent="0.35">
      <c r="B30" s="203"/>
      <c r="C30" s="203"/>
      <c r="D30" s="203"/>
      <c r="E30" s="203"/>
      <c r="G30" s="1" t="s">
        <v>212</v>
      </c>
      <c r="H30" s="8" t="s">
        <v>5</v>
      </c>
      <c r="I30" s="9">
        <f t="shared" si="2"/>
        <v>270</v>
      </c>
      <c r="J30" s="9">
        <f>(I20*J27)+I30</f>
        <v>297.89999999999998</v>
      </c>
      <c r="K30" s="9">
        <f>(J20*K27)+J30</f>
        <v>323.09999999999997</v>
      </c>
      <c r="L30" s="9">
        <f t="shared" ref="L30:P30" si="4">(K20*L27)+K30</f>
        <v>350.99999999999994</v>
      </c>
      <c r="M30" s="9">
        <f t="shared" si="4"/>
        <v>374.99999999999994</v>
      </c>
      <c r="N30" s="9">
        <f t="shared" si="4"/>
        <v>396.69999999999993</v>
      </c>
      <c r="O30" s="9">
        <f t="shared" si="4"/>
        <v>417.69999999999993</v>
      </c>
      <c r="P30" s="9">
        <f t="shared" si="4"/>
        <v>439.39999999999992</v>
      </c>
      <c r="Q30" s="14"/>
      <c r="T30" s="182" t="s">
        <v>29</v>
      </c>
      <c r="U30" s="201">
        <f>O28</f>
        <v>357.7</v>
      </c>
      <c r="V30" s="180"/>
      <c r="W30" s="180"/>
      <c r="X30" s="180"/>
      <c r="Y30" s="180"/>
      <c r="Z30" s="180"/>
      <c r="AA30" s="180"/>
    </row>
    <row r="31" spans="2:27" x14ac:dyDescent="0.3">
      <c r="B31" s="203"/>
      <c r="C31" s="203"/>
      <c r="D31" s="203"/>
      <c r="E31" s="203"/>
      <c r="T31" s="182" t="s">
        <v>30</v>
      </c>
      <c r="U31" s="201">
        <f>P28</f>
        <v>379.4</v>
      </c>
      <c r="V31" s="180"/>
      <c r="W31" s="180"/>
      <c r="X31" s="180"/>
      <c r="Y31" s="180"/>
      <c r="Z31" s="180"/>
      <c r="AA31" s="180"/>
    </row>
    <row r="32" spans="2:27" ht="15" thickBot="1" x14ac:dyDescent="0.35">
      <c r="B32" s="203"/>
      <c r="C32" s="203"/>
      <c r="D32" s="203"/>
      <c r="E32" s="203"/>
      <c r="T32" s="182" t="s">
        <v>32</v>
      </c>
      <c r="U32" s="201">
        <f>Q28</f>
        <v>401.09999999999997</v>
      </c>
      <c r="V32" s="180"/>
      <c r="W32" s="180"/>
      <c r="X32" s="180"/>
      <c r="Y32" s="180"/>
      <c r="Z32" s="180"/>
      <c r="AA32" s="180"/>
    </row>
    <row r="33" spans="2:27" x14ac:dyDescent="0.3">
      <c r="B33" s="203"/>
      <c r="C33" s="203"/>
      <c r="D33" s="203"/>
      <c r="E33" s="203"/>
      <c r="H33" s="192" t="s">
        <v>50</v>
      </c>
      <c r="I33" s="193"/>
      <c r="J33" s="193"/>
      <c r="K33" s="193"/>
      <c r="L33" s="193"/>
      <c r="M33" s="193"/>
      <c r="N33" s="193"/>
      <c r="O33" s="193"/>
      <c r="P33" s="193"/>
      <c r="Q33" s="194"/>
      <c r="T33" s="180"/>
      <c r="U33" s="180"/>
      <c r="V33" s="180"/>
      <c r="W33" s="180"/>
      <c r="X33" s="180"/>
      <c r="Y33" s="180"/>
      <c r="Z33" s="180"/>
      <c r="AA33" s="180"/>
    </row>
    <row r="34" spans="2:27" x14ac:dyDescent="0.3">
      <c r="H34" s="195">
        <v>2</v>
      </c>
      <c r="I34" s="4" t="s">
        <v>14</v>
      </c>
      <c r="J34" s="4" t="s">
        <v>13</v>
      </c>
      <c r="K34" s="4" t="s">
        <v>16</v>
      </c>
      <c r="L34" s="4" t="s">
        <v>17</v>
      </c>
      <c r="M34" s="4" t="s">
        <v>18</v>
      </c>
      <c r="N34" s="4" t="s">
        <v>19</v>
      </c>
      <c r="O34" s="4" t="s">
        <v>20</v>
      </c>
      <c r="P34" s="4" t="s">
        <v>27</v>
      </c>
      <c r="Q34" s="12" t="s">
        <v>28</v>
      </c>
      <c r="T34" s="180"/>
      <c r="U34" s="180"/>
      <c r="V34" s="180"/>
      <c r="W34" s="180"/>
      <c r="X34" s="180"/>
      <c r="Y34" s="180"/>
      <c r="Z34" s="180"/>
      <c r="AA34" s="180"/>
    </row>
    <row r="35" spans="2:27" x14ac:dyDescent="0.3">
      <c r="H35" s="196"/>
      <c r="I35" s="4" t="s">
        <v>26</v>
      </c>
      <c r="J35" s="4" t="s">
        <v>21</v>
      </c>
      <c r="K35" s="4" t="s">
        <v>22</v>
      </c>
      <c r="L35" s="4" t="s">
        <v>23</v>
      </c>
      <c r="M35" s="4" t="s">
        <v>24</v>
      </c>
      <c r="N35" s="4" t="s">
        <v>25</v>
      </c>
      <c r="O35" s="4" t="s">
        <v>29</v>
      </c>
      <c r="P35" s="4" t="s">
        <v>30</v>
      </c>
      <c r="Q35" s="4" t="s">
        <v>32</v>
      </c>
    </row>
    <row r="36" spans="2:27" x14ac:dyDescent="0.3">
      <c r="H36" s="3" t="s">
        <v>3</v>
      </c>
      <c r="I36" s="4">
        <f>I28/30</f>
        <v>7</v>
      </c>
      <c r="J36" s="6">
        <f t="shared" ref="J36:Q38" si="5">J28/30</f>
        <v>7.9300000000000006</v>
      </c>
      <c r="K36" s="6">
        <f t="shared" si="5"/>
        <v>8.7700000000000014</v>
      </c>
      <c r="L36" s="6">
        <f t="shared" si="5"/>
        <v>9.6999999999999993</v>
      </c>
      <c r="M36" s="6">
        <f t="shared" si="5"/>
        <v>10.5</v>
      </c>
      <c r="N36" s="6">
        <f t="shared" si="5"/>
        <v>11.223333333333333</v>
      </c>
      <c r="O36" s="6">
        <f t="shared" si="5"/>
        <v>11.923333333333334</v>
      </c>
      <c r="P36" s="6">
        <f t="shared" si="5"/>
        <v>12.646666666666667</v>
      </c>
      <c r="Q36" s="15">
        <f t="shared" si="5"/>
        <v>13.37</v>
      </c>
    </row>
    <row r="37" spans="2:27" x14ac:dyDescent="0.3">
      <c r="H37" s="3" t="s">
        <v>4</v>
      </c>
      <c r="I37" s="4">
        <f>I29/30</f>
        <v>8</v>
      </c>
      <c r="J37" s="6">
        <f t="shared" si="5"/>
        <v>8.93</v>
      </c>
      <c r="K37" s="6">
        <f t="shared" si="5"/>
        <v>9.77</v>
      </c>
      <c r="L37" s="6">
        <f t="shared" si="5"/>
        <v>10.699999999999998</v>
      </c>
      <c r="M37" s="6">
        <f t="shared" si="5"/>
        <v>11.499999999999998</v>
      </c>
      <c r="N37" s="6">
        <f t="shared" si="5"/>
        <v>12.223333333333331</v>
      </c>
      <c r="O37" s="6">
        <f t="shared" si="5"/>
        <v>12.92333333333333</v>
      </c>
      <c r="P37" s="6">
        <f t="shared" si="5"/>
        <v>13.646666666666665</v>
      </c>
      <c r="Q37" s="15">
        <f t="shared" si="5"/>
        <v>14.369999999999997</v>
      </c>
    </row>
    <row r="38" spans="2:27" ht="15" thickBot="1" x14ac:dyDescent="0.35">
      <c r="H38" s="8" t="s">
        <v>5</v>
      </c>
      <c r="I38" s="9">
        <f>I30/30</f>
        <v>9</v>
      </c>
      <c r="J38" s="10">
        <f t="shared" si="5"/>
        <v>9.93</v>
      </c>
      <c r="K38" s="10">
        <f t="shared" si="5"/>
        <v>10.77</v>
      </c>
      <c r="L38" s="10">
        <f t="shared" si="5"/>
        <v>11.699999999999998</v>
      </c>
      <c r="M38" s="10">
        <f t="shared" si="5"/>
        <v>12.499999999999998</v>
      </c>
      <c r="N38" s="10">
        <f t="shared" si="5"/>
        <v>13.223333333333331</v>
      </c>
      <c r="O38" s="10">
        <f t="shared" si="5"/>
        <v>13.92333333333333</v>
      </c>
      <c r="P38" s="10">
        <f t="shared" si="5"/>
        <v>14.646666666666665</v>
      </c>
      <c r="Q38" s="16"/>
    </row>
    <row r="41" spans="2:27" x14ac:dyDescent="0.3">
      <c r="G41" s="180" t="s">
        <v>214</v>
      </c>
    </row>
    <row r="42" spans="2:27" ht="15" thickBot="1" x14ac:dyDescent="0.35">
      <c r="G42" s="180" t="s">
        <v>215</v>
      </c>
    </row>
    <row r="43" spans="2:27" x14ac:dyDescent="0.3">
      <c r="G43" s="183" t="s">
        <v>202</v>
      </c>
      <c r="H43" s="192" t="s">
        <v>45</v>
      </c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4"/>
    </row>
    <row r="44" spans="2:27" x14ac:dyDescent="0.3">
      <c r="H44" s="3"/>
      <c r="I44" s="4" t="s">
        <v>13</v>
      </c>
      <c r="J44" s="4" t="s">
        <v>16</v>
      </c>
      <c r="K44" s="4" t="s">
        <v>17</v>
      </c>
      <c r="L44" s="4" t="s">
        <v>18</v>
      </c>
      <c r="M44" s="4" t="s">
        <v>19</v>
      </c>
      <c r="N44" s="4" t="s">
        <v>20</v>
      </c>
      <c r="O44" s="4" t="s">
        <v>27</v>
      </c>
      <c r="P44" s="4" t="s">
        <v>28</v>
      </c>
      <c r="Q44" s="4" t="s">
        <v>31</v>
      </c>
      <c r="R44" s="4" t="s">
        <v>43</v>
      </c>
      <c r="S44" s="12" t="s">
        <v>44</v>
      </c>
    </row>
    <row r="45" spans="2:27" x14ac:dyDescent="0.3">
      <c r="H45" s="3"/>
      <c r="I45" s="4" t="s">
        <v>21</v>
      </c>
      <c r="J45" s="4" t="s">
        <v>22</v>
      </c>
      <c r="K45" s="4" t="s">
        <v>23</v>
      </c>
      <c r="L45" s="4" t="s">
        <v>24</v>
      </c>
      <c r="M45" s="4" t="s">
        <v>25</v>
      </c>
      <c r="N45" s="4" t="s">
        <v>29</v>
      </c>
      <c r="O45" s="4" t="s">
        <v>30</v>
      </c>
      <c r="P45" s="4" t="s">
        <v>32</v>
      </c>
      <c r="Q45" s="4" t="s">
        <v>34</v>
      </c>
      <c r="R45" s="4" t="s">
        <v>35</v>
      </c>
      <c r="S45" s="4" t="s">
        <v>216</v>
      </c>
    </row>
    <row r="46" spans="2:27" x14ac:dyDescent="0.3">
      <c r="H46" s="3" t="s">
        <v>36</v>
      </c>
      <c r="I46" s="4">
        <v>31</v>
      </c>
      <c r="J46" s="4">
        <v>28</v>
      </c>
      <c r="K46" s="4">
        <v>31</v>
      </c>
      <c r="L46" s="4">
        <v>30</v>
      </c>
      <c r="M46" s="4">
        <v>31</v>
      </c>
      <c r="N46" s="4">
        <v>30</v>
      </c>
      <c r="O46" s="4">
        <v>31</v>
      </c>
      <c r="P46" s="4">
        <v>31</v>
      </c>
      <c r="Q46" s="4">
        <v>30</v>
      </c>
      <c r="R46" s="4">
        <v>31</v>
      </c>
      <c r="S46" s="12">
        <v>30</v>
      </c>
    </row>
    <row r="47" spans="2:27" x14ac:dyDescent="0.3">
      <c r="H47" s="3" t="s">
        <v>3</v>
      </c>
      <c r="I47" s="6">
        <v>1</v>
      </c>
      <c r="J47" s="6">
        <v>1.2</v>
      </c>
      <c r="K47" s="6">
        <v>1.2</v>
      </c>
      <c r="L47" s="6">
        <v>1.5</v>
      </c>
      <c r="M47" s="6">
        <v>2</v>
      </c>
      <c r="N47" s="6">
        <v>2.5</v>
      </c>
      <c r="O47" s="6">
        <v>3.5</v>
      </c>
      <c r="P47" s="6">
        <v>4.5</v>
      </c>
      <c r="Q47" s="6">
        <v>15</v>
      </c>
      <c r="R47" s="6">
        <v>15</v>
      </c>
      <c r="S47" s="15">
        <v>15</v>
      </c>
    </row>
    <row r="48" spans="2:27" x14ac:dyDescent="0.3">
      <c r="H48" s="3" t="s">
        <v>4</v>
      </c>
      <c r="I48" s="6">
        <v>1</v>
      </c>
      <c r="J48" s="6">
        <v>1.2</v>
      </c>
      <c r="K48" s="6">
        <v>1.2</v>
      </c>
      <c r="L48" s="6">
        <v>1.5</v>
      </c>
      <c r="M48" s="6">
        <v>2</v>
      </c>
      <c r="N48" s="6">
        <v>2.5</v>
      </c>
      <c r="O48" s="6">
        <v>3.5</v>
      </c>
      <c r="P48" s="6">
        <v>4.5</v>
      </c>
      <c r="Q48" s="6">
        <v>15</v>
      </c>
      <c r="R48" s="6">
        <v>15</v>
      </c>
      <c r="S48" s="15">
        <v>15</v>
      </c>
    </row>
    <row r="49" spans="7:19" ht="15" thickBot="1" x14ac:dyDescent="0.35">
      <c r="H49" s="8" t="s">
        <v>5</v>
      </c>
      <c r="I49" s="10">
        <v>1</v>
      </c>
      <c r="J49" s="10">
        <v>1.2</v>
      </c>
      <c r="K49" s="10">
        <v>1.2</v>
      </c>
      <c r="L49" s="10">
        <v>1.5</v>
      </c>
      <c r="M49" s="10">
        <v>2</v>
      </c>
      <c r="N49" s="10">
        <v>2.5</v>
      </c>
      <c r="O49" s="10">
        <v>3.5</v>
      </c>
      <c r="P49" s="10">
        <v>15</v>
      </c>
      <c r="Q49" s="10">
        <v>15</v>
      </c>
      <c r="R49" s="10">
        <v>15</v>
      </c>
      <c r="S49" s="16"/>
    </row>
    <row r="51" spans="7:19" ht="15" thickBot="1" x14ac:dyDescent="0.35"/>
    <row r="52" spans="7:19" x14ac:dyDescent="0.3">
      <c r="G52" s="183" t="s">
        <v>217</v>
      </c>
      <c r="H52" s="192" t="s">
        <v>51</v>
      </c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4"/>
    </row>
    <row r="53" spans="7:19" x14ac:dyDescent="0.3">
      <c r="H53" s="3"/>
      <c r="I53" s="4" t="s">
        <v>13</v>
      </c>
      <c r="J53" s="4" t="s">
        <v>16</v>
      </c>
      <c r="K53" s="4" t="s">
        <v>17</v>
      </c>
      <c r="L53" s="4" t="s">
        <v>18</v>
      </c>
      <c r="M53" s="4" t="s">
        <v>19</v>
      </c>
      <c r="N53" s="4" t="s">
        <v>20</v>
      </c>
      <c r="O53" s="4" t="s">
        <v>27</v>
      </c>
      <c r="P53" s="4" t="s">
        <v>28</v>
      </c>
      <c r="Q53" s="4" t="s">
        <v>31</v>
      </c>
      <c r="R53" s="4" t="s">
        <v>43</v>
      </c>
      <c r="S53" s="12" t="s">
        <v>44</v>
      </c>
    </row>
    <row r="54" spans="7:19" x14ac:dyDescent="0.3">
      <c r="H54" s="3"/>
      <c r="I54" s="4" t="str">
        <f>I45</f>
        <v>Jan</v>
      </c>
      <c r="J54" s="4" t="str">
        <f t="shared" ref="J54:S54" si="6">J45</f>
        <v>Fev</v>
      </c>
      <c r="K54" s="4" t="str">
        <f t="shared" si="6"/>
        <v>Mar</v>
      </c>
      <c r="L54" s="4" t="str">
        <f t="shared" si="6"/>
        <v>Abr</v>
      </c>
      <c r="M54" s="4" t="str">
        <f t="shared" si="6"/>
        <v>Mai</v>
      </c>
      <c r="N54" s="4" t="str">
        <f t="shared" si="6"/>
        <v>Jun</v>
      </c>
      <c r="O54" s="4" t="str">
        <f t="shared" si="6"/>
        <v>Jul</v>
      </c>
      <c r="P54" s="4" t="str">
        <f t="shared" si="6"/>
        <v>Ago</v>
      </c>
      <c r="Q54" s="4" t="str">
        <f t="shared" si="6"/>
        <v>Set</v>
      </c>
      <c r="R54" s="4" t="str">
        <f t="shared" si="6"/>
        <v>Out</v>
      </c>
      <c r="S54" s="4" t="str">
        <f t="shared" si="6"/>
        <v>Nov</v>
      </c>
    </row>
    <row r="55" spans="7:19" x14ac:dyDescent="0.3">
      <c r="H55" s="3" t="s">
        <v>36</v>
      </c>
      <c r="I55" s="4">
        <f>I46</f>
        <v>31</v>
      </c>
      <c r="J55" s="4">
        <f t="shared" ref="J55:S55" si="7">J46</f>
        <v>28</v>
      </c>
      <c r="K55" s="4">
        <f t="shared" si="7"/>
        <v>31</v>
      </c>
      <c r="L55" s="4">
        <f t="shared" si="7"/>
        <v>30</v>
      </c>
      <c r="M55" s="4">
        <f t="shared" si="7"/>
        <v>31</v>
      </c>
      <c r="N55" s="4">
        <f t="shared" si="7"/>
        <v>30</v>
      </c>
      <c r="O55" s="4">
        <f t="shared" si="7"/>
        <v>31</v>
      </c>
      <c r="P55" s="4">
        <f t="shared" si="7"/>
        <v>31</v>
      </c>
      <c r="Q55" s="4">
        <f t="shared" si="7"/>
        <v>30</v>
      </c>
      <c r="R55" s="4">
        <f t="shared" si="7"/>
        <v>31</v>
      </c>
      <c r="S55" s="4">
        <f t="shared" si="7"/>
        <v>30</v>
      </c>
    </row>
    <row r="56" spans="7:19" x14ac:dyDescent="0.3">
      <c r="H56" s="3" t="s">
        <v>3</v>
      </c>
      <c r="I56" s="6">
        <f>I47*I46</f>
        <v>31</v>
      </c>
      <c r="J56" s="6">
        <f t="shared" ref="J56:S56" si="8">J47*J46</f>
        <v>33.6</v>
      </c>
      <c r="K56" s="6">
        <f t="shared" si="8"/>
        <v>37.199999999999996</v>
      </c>
      <c r="L56" s="6">
        <f t="shared" si="8"/>
        <v>45</v>
      </c>
      <c r="M56" s="6">
        <f t="shared" si="8"/>
        <v>62</v>
      </c>
      <c r="N56" s="6">
        <f t="shared" si="8"/>
        <v>75</v>
      </c>
      <c r="O56" s="6">
        <f t="shared" si="8"/>
        <v>108.5</v>
      </c>
      <c r="P56" s="6">
        <f t="shared" si="8"/>
        <v>139.5</v>
      </c>
      <c r="Q56" s="6">
        <f t="shared" si="8"/>
        <v>450</v>
      </c>
      <c r="R56" s="6">
        <f t="shared" si="8"/>
        <v>465</v>
      </c>
      <c r="S56" s="15">
        <f t="shared" si="8"/>
        <v>450</v>
      </c>
    </row>
    <row r="57" spans="7:19" x14ac:dyDescent="0.3">
      <c r="H57" s="3" t="s">
        <v>4</v>
      </c>
      <c r="I57" s="6">
        <f>I48*I46</f>
        <v>31</v>
      </c>
      <c r="J57" s="6">
        <f t="shared" ref="J57:S57" si="9">J48*J46</f>
        <v>33.6</v>
      </c>
      <c r="K57" s="6">
        <f t="shared" si="9"/>
        <v>37.199999999999996</v>
      </c>
      <c r="L57" s="6">
        <f t="shared" si="9"/>
        <v>45</v>
      </c>
      <c r="M57" s="6">
        <f t="shared" si="9"/>
        <v>62</v>
      </c>
      <c r="N57" s="6">
        <f t="shared" si="9"/>
        <v>75</v>
      </c>
      <c r="O57" s="6">
        <f t="shared" si="9"/>
        <v>108.5</v>
      </c>
      <c r="P57" s="6">
        <f t="shared" si="9"/>
        <v>139.5</v>
      </c>
      <c r="Q57" s="6">
        <f t="shared" si="9"/>
        <v>450</v>
      </c>
      <c r="R57" s="6">
        <f t="shared" si="9"/>
        <v>465</v>
      </c>
      <c r="S57" s="15">
        <f t="shared" si="9"/>
        <v>450</v>
      </c>
    </row>
    <row r="58" spans="7:19" ht="15" thickBot="1" x14ac:dyDescent="0.35">
      <c r="H58" s="8" t="s">
        <v>5</v>
      </c>
      <c r="I58" s="10">
        <f>I49*I46</f>
        <v>31</v>
      </c>
      <c r="J58" s="10">
        <f t="shared" ref="J58:R58" si="10">J49*J46</f>
        <v>33.6</v>
      </c>
      <c r="K58" s="10">
        <f t="shared" si="10"/>
        <v>37.199999999999996</v>
      </c>
      <c r="L58" s="10">
        <f t="shared" si="10"/>
        <v>45</v>
      </c>
      <c r="M58" s="10">
        <f t="shared" si="10"/>
        <v>62</v>
      </c>
      <c r="N58" s="10">
        <f t="shared" si="10"/>
        <v>75</v>
      </c>
      <c r="O58" s="10">
        <f t="shared" si="10"/>
        <v>108.5</v>
      </c>
      <c r="P58" s="10">
        <f t="shared" si="10"/>
        <v>465</v>
      </c>
      <c r="Q58" s="10">
        <f t="shared" si="10"/>
        <v>450</v>
      </c>
      <c r="R58" s="10">
        <f t="shared" si="10"/>
        <v>465</v>
      </c>
      <c r="S58" s="16"/>
    </row>
    <row r="60" spans="7:19" ht="15" thickBot="1" x14ac:dyDescent="0.35"/>
    <row r="61" spans="7:19" x14ac:dyDescent="0.3">
      <c r="G61" s="183" t="s">
        <v>218</v>
      </c>
      <c r="H61" s="192" t="s">
        <v>52</v>
      </c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4"/>
    </row>
    <row r="62" spans="7:19" x14ac:dyDescent="0.3">
      <c r="G62" s="1" t="s">
        <v>219</v>
      </c>
      <c r="H62" s="3"/>
      <c r="I62" s="4" t="s">
        <v>13</v>
      </c>
      <c r="J62" s="4" t="s">
        <v>16</v>
      </c>
      <c r="K62" s="4" t="s">
        <v>17</v>
      </c>
      <c r="L62" s="4" t="s">
        <v>18</v>
      </c>
      <c r="M62" s="4" t="s">
        <v>19</v>
      </c>
      <c r="N62" s="4" t="s">
        <v>20</v>
      </c>
      <c r="O62" s="4" t="s">
        <v>27</v>
      </c>
      <c r="P62" s="4" t="s">
        <v>28</v>
      </c>
      <c r="Q62" s="4" t="s">
        <v>31</v>
      </c>
      <c r="R62" s="4" t="s">
        <v>43</v>
      </c>
      <c r="S62" s="12" t="s">
        <v>44</v>
      </c>
    </row>
    <row r="63" spans="7:19" x14ac:dyDescent="0.3">
      <c r="H63" s="3"/>
      <c r="I63" s="4" t="str">
        <f>I54</f>
        <v>Jan</v>
      </c>
      <c r="J63" s="4" t="str">
        <f t="shared" ref="J63:S63" si="11">J54</f>
        <v>Fev</v>
      </c>
      <c r="K63" s="4" t="str">
        <f t="shared" si="11"/>
        <v>Mar</v>
      </c>
      <c r="L63" s="4" t="str">
        <f t="shared" si="11"/>
        <v>Abr</v>
      </c>
      <c r="M63" s="4" t="str">
        <f t="shared" si="11"/>
        <v>Mai</v>
      </c>
      <c r="N63" s="4" t="str">
        <f t="shared" si="11"/>
        <v>Jun</v>
      </c>
      <c r="O63" s="4" t="str">
        <f t="shared" si="11"/>
        <v>Jul</v>
      </c>
      <c r="P63" s="4" t="str">
        <f t="shared" si="11"/>
        <v>Ago</v>
      </c>
      <c r="Q63" s="4" t="str">
        <f t="shared" si="11"/>
        <v>Set</v>
      </c>
      <c r="R63" s="4" t="str">
        <f t="shared" si="11"/>
        <v>Out</v>
      </c>
      <c r="S63" s="4" t="str">
        <f t="shared" si="11"/>
        <v>Nov</v>
      </c>
    </row>
    <row r="64" spans="7:19" x14ac:dyDescent="0.3">
      <c r="H64" s="3" t="s">
        <v>36</v>
      </c>
      <c r="I64" s="4">
        <f>I55</f>
        <v>31</v>
      </c>
      <c r="J64" s="4">
        <f t="shared" ref="J64:S64" si="12">J55</f>
        <v>28</v>
      </c>
      <c r="K64" s="4">
        <f t="shared" si="12"/>
        <v>31</v>
      </c>
      <c r="L64" s="4">
        <f t="shared" si="12"/>
        <v>30</v>
      </c>
      <c r="M64" s="4">
        <f t="shared" si="12"/>
        <v>31</v>
      </c>
      <c r="N64" s="4">
        <f t="shared" si="12"/>
        <v>30</v>
      </c>
      <c r="O64" s="4">
        <f t="shared" si="12"/>
        <v>31</v>
      </c>
      <c r="P64" s="4">
        <f t="shared" si="12"/>
        <v>31</v>
      </c>
      <c r="Q64" s="4">
        <f t="shared" si="12"/>
        <v>30</v>
      </c>
      <c r="R64" s="4">
        <f t="shared" si="12"/>
        <v>31</v>
      </c>
      <c r="S64" s="4">
        <f t="shared" si="12"/>
        <v>30</v>
      </c>
    </row>
    <row r="65" spans="8:19" x14ac:dyDescent="0.3">
      <c r="H65" s="3" t="s">
        <v>3</v>
      </c>
      <c r="I65" s="20">
        <f>I56*$K$8</f>
        <v>6200</v>
      </c>
      <c r="J65" s="20">
        <f t="shared" ref="J65:S65" si="13">J56*$K$8</f>
        <v>6720</v>
      </c>
      <c r="K65" s="20">
        <f t="shared" si="13"/>
        <v>7439.9999999999991</v>
      </c>
      <c r="L65" s="20">
        <f t="shared" si="13"/>
        <v>9000</v>
      </c>
      <c r="M65" s="20">
        <f t="shared" si="13"/>
        <v>12400</v>
      </c>
      <c r="N65" s="20">
        <f t="shared" si="13"/>
        <v>15000</v>
      </c>
      <c r="O65" s="20">
        <f t="shared" si="13"/>
        <v>21700</v>
      </c>
      <c r="P65" s="20">
        <f t="shared" si="13"/>
        <v>27900</v>
      </c>
      <c r="Q65" s="20">
        <f t="shared" si="13"/>
        <v>90000</v>
      </c>
      <c r="R65" s="20">
        <f t="shared" si="13"/>
        <v>93000</v>
      </c>
      <c r="S65" s="20">
        <f t="shared" si="13"/>
        <v>90000</v>
      </c>
    </row>
    <row r="66" spans="8:19" x14ac:dyDescent="0.3">
      <c r="H66" s="3" t="s">
        <v>4</v>
      </c>
      <c r="I66" s="20">
        <f>I57*$K$9</f>
        <v>15500</v>
      </c>
      <c r="J66" s="20">
        <f t="shared" ref="J66:S66" si="14">J57*$K$9</f>
        <v>16800</v>
      </c>
      <c r="K66" s="20">
        <f t="shared" si="14"/>
        <v>18599.999999999996</v>
      </c>
      <c r="L66" s="20">
        <f t="shared" si="14"/>
        <v>22500</v>
      </c>
      <c r="M66" s="20">
        <f t="shared" si="14"/>
        <v>31000</v>
      </c>
      <c r="N66" s="20">
        <f t="shared" si="14"/>
        <v>37500</v>
      </c>
      <c r="O66" s="20">
        <f t="shared" si="14"/>
        <v>54250</v>
      </c>
      <c r="P66" s="20">
        <f t="shared" si="14"/>
        <v>69750</v>
      </c>
      <c r="Q66" s="20">
        <f t="shared" si="14"/>
        <v>225000</v>
      </c>
      <c r="R66" s="20">
        <f t="shared" si="14"/>
        <v>232500</v>
      </c>
      <c r="S66" s="20">
        <f t="shared" si="14"/>
        <v>225000</v>
      </c>
    </row>
    <row r="67" spans="8:19" ht="15" thickBot="1" x14ac:dyDescent="0.35">
      <c r="H67" s="8" t="s">
        <v>5</v>
      </c>
      <c r="I67" s="20">
        <f>I58*$K$10</f>
        <v>9300</v>
      </c>
      <c r="J67" s="20">
        <f t="shared" ref="J67:S67" si="15">J58*$K$10</f>
        <v>10080</v>
      </c>
      <c r="K67" s="20">
        <f t="shared" si="15"/>
        <v>11159.999999999998</v>
      </c>
      <c r="L67" s="20">
        <f t="shared" si="15"/>
        <v>13500</v>
      </c>
      <c r="M67" s="20">
        <f t="shared" si="15"/>
        <v>18600</v>
      </c>
      <c r="N67" s="20">
        <f t="shared" si="15"/>
        <v>22500</v>
      </c>
      <c r="O67" s="20">
        <f t="shared" si="15"/>
        <v>32550</v>
      </c>
      <c r="P67" s="20">
        <f t="shared" si="15"/>
        <v>139500</v>
      </c>
      <c r="Q67" s="20">
        <f t="shared" si="15"/>
        <v>135000</v>
      </c>
      <c r="R67" s="20">
        <f t="shared" si="15"/>
        <v>139500</v>
      </c>
      <c r="S67" s="20">
        <f t="shared" si="15"/>
        <v>0</v>
      </c>
    </row>
    <row r="68" spans="8:19" ht="15" thickBot="1" x14ac:dyDescent="0.35">
      <c r="H68" s="33" t="s">
        <v>84</v>
      </c>
      <c r="I68" s="34">
        <f>I65+I66+I67</f>
        <v>31000</v>
      </c>
      <c r="J68" s="34">
        <f t="shared" ref="J68:S68" si="16">J65+J66+J67</f>
        <v>33600</v>
      </c>
      <c r="K68" s="34">
        <f t="shared" si="16"/>
        <v>37199.999999999993</v>
      </c>
      <c r="L68" s="34">
        <f t="shared" si="16"/>
        <v>45000</v>
      </c>
      <c r="M68" s="34">
        <f t="shared" si="16"/>
        <v>62000</v>
      </c>
      <c r="N68" s="204">
        <f t="shared" si="16"/>
        <v>75000</v>
      </c>
      <c r="O68" s="34">
        <f t="shared" si="16"/>
        <v>108500</v>
      </c>
      <c r="P68" s="34">
        <f t="shared" si="16"/>
        <v>237150</v>
      </c>
      <c r="Q68" s="34">
        <f t="shared" si="16"/>
        <v>450000</v>
      </c>
      <c r="R68" s="34">
        <f t="shared" si="16"/>
        <v>465000</v>
      </c>
      <c r="S68" s="35">
        <f t="shared" si="16"/>
        <v>315000</v>
      </c>
    </row>
  </sheetData>
  <mergeCells count="11">
    <mergeCell ref="T23:U23"/>
    <mergeCell ref="B23:E33"/>
    <mergeCell ref="H43:S43"/>
    <mergeCell ref="H52:S52"/>
    <mergeCell ref="H61:S61"/>
    <mergeCell ref="H15:P15"/>
    <mergeCell ref="H6:N6"/>
    <mergeCell ref="H24:Q24"/>
    <mergeCell ref="H33:Q33"/>
    <mergeCell ref="H25:H26"/>
    <mergeCell ref="H34:H35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FB75-61FD-4E6A-8E8C-548A25D0126D}">
  <dimension ref="D1:X45"/>
  <sheetViews>
    <sheetView tabSelected="1" topLeftCell="B33" workbookViewId="0">
      <selection activeCell="F49" sqref="F49"/>
    </sheetView>
  </sheetViews>
  <sheetFormatPr defaultRowHeight="14.4" x14ac:dyDescent="0.3"/>
  <cols>
    <col min="1" max="9" width="8.88671875" style="1"/>
    <col min="10" max="10" width="50.109375" style="1" customWidth="1"/>
    <col min="11" max="11" width="8.88671875" style="1"/>
    <col min="12" max="12" width="9.6640625" style="1" bestFit="1" customWidth="1"/>
    <col min="13" max="13" width="14.21875" style="1" bestFit="1" customWidth="1"/>
    <col min="14" max="15" width="8.88671875" style="1"/>
    <col min="16" max="16" width="9.109375" style="1" bestFit="1" customWidth="1"/>
    <col min="17" max="18" width="8.88671875" style="1"/>
    <col min="19" max="19" width="9.6640625" style="1" bestFit="1" customWidth="1"/>
    <col min="20" max="20" width="15.21875" style="1" bestFit="1" customWidth="1"/>
    <col min="21" max="16384" width="8.88671875" style="1"/>
  </cols>
  <sheetData>
    <row r="1" spans="4:24" ht="15" thickBot="1" x14ac:dyDescent="0.35"/>
    <row r="2" spans="4:24" x14ac:dyDescent="0.3">
      <c r="J2" s="239" t="s">
        <v>238</v>
      </c>
      <c r="K2" s="240"/>
      <c r="L2" s="240"/>
      <c r="M2" s="240"/>
      <c r="N2" s="240"/>
      <c r="O2" s="240"/>
      <c r="P2" s="241"/>
      <c r="R2" s="239" t="s">
        <v>239</v>
      </c>
      <c r="S2" s="240"/>
      <c r="T2" s="240"/>
      <c r="U2" s="240"/>
      <c r="V2" s="240"/>
      <c r="W2" s="240"/>
      <c r="X2" s="241"/>
    </row>
    <row r="3" spans="4:24" ht="15" thickBot="1" x14ac:dyDescent="0.35">
      <c r="J3" s="242"/>
      <c r="K3" s="243"/>
      <c r="L3" s="243"/>
      <c r="M3" s="243"/>
      <c r="N3" s="243"/>
      <c r="O3" s="243"/>
      <c r="P3" s="244"/>
      <c r="R3" s="242"/>
      <c r="S3" s="243"/>
      <c r="T3" s="243"/>
      <c r="U3" s="243"/>
      <c r="V3" s="243"/>
      <c r="W3" s="243"/>
      <c r="X3" s="244"/>
    </row>
    <row r="4" spans="4:24" x14ac:dyDescent="0.3">
      <c r="D4" s="202" t="s">
        <v>225</v>
      </c>
      <c r="E4" s="202"/>
      <c r="F4" s="202"/>
      <c r="G4" s="202"/>
      <c r="J4" s="227" t="s">
        <v>230</v>
      </c>
      <c r="K4" s="236" t="s">
        <v>228</v>
      </c>
      <c r="L4" s="237"/>
      <c r="M4" s="237"/>
      <c r="N4" s="237"/>
      <c r="O4" s="237"/>
      <c r="P4" s="238"/>
      <c r="R4" s="213" t="s">
        <v>240</v>
      </c>
      <c r="S4" s="214"/>
      <c r="T4" s="160"/>
    </row>
    <row r="5" spans="4:24" ht="15" thickBot="1" x14ac:dyDescent="0.35">
      <c r="D5" s="202"/>
      <c r="E5" s="202"/>
      <c r="F5" s="202"/>
      <c r="G5" s="202"/>
      <c r="J5" s="227"/>
      <c r="K5" s="139">
        <v>1.5</v>
      </c>
      <c r="L5" s="4" t="s">
        <v>14</v>
      </c>
      <c r="M5" s="4" t="s">
        <v>13</v>
      </c>
      <c r="N5" s="4" t="s">
        <v>16</v>
      </c>
      <c r="O5" s="4" t="s">
        <v>17</v>
      </c>
      <c r="P5" s="12" t="s">
        <v>18</v>
      </c>
      <c r="R5" s="219"/>
      <c r="S5" s="220"/>
      <c r="T5" s="221"/>
    </row>
    <row r="6" spans="4:24" ht="15" thickBot="1" x14ac:dyDescent="0.35">
      <c r="D6" s="202"/>
      <c r="E6" s="202"/>
      <c r="F6" s="202"/>
      <c r="G6" s="202"/>
      <c r="J6" s="228"/>
      <c r="K6" s="139"/>
      <c r="L6" s="4" t="s">
        <v>33</v>
      </c>
      <c r="M6" s="4" t="s">
        <v>32</v>
      </c>
      <c r="N6" s="4" t="s">
        <v>34</v>
      </c>
      <c r="O6" s="4" t="s">
        <v>35</v>
      </c>
      <c r="P6" s="12" t="s">
        <v>216</v>
      </c>
      <c r="R6" s="224" t="s">
        <v>233</v>
      </c>
      <c r="S6" s="225" t="s">
        <v>234</v>
      </c>
      <c r="T6" s="178" t="s">
        <v>115</v>
      </c>
    </row>
    <row r="7" spans="4:24" x14ac:dyDescent="0.3">
      <c r="D7" s="202"/>
      <c r="E7" s="202"/>
      <c r="F7" s="202"/>
      <c r="G7" s="202"/>
      <c r="J7" s="228"/>
      <c r="K7" s="134"/>
      <c r="L7" s="4"/>
      <c r="M7" s="4">
        <v>31</v>
      </c>
      <c r="N7" s="4">
        <v>30</v>
      </c>
      <c r="O7" s="4">
        <v>31</v>
      </c>
      <c r="P7" s="12">
        <v>30</v>
      </c>
      <c r="R7" s="169" t="s">
        <v>5</v>
      </c>
      <c r="S7" s="222">
        <f>L42*105%</f>
        <v>367.5</v>
      </c>
      <c r="T7" s="223">
        <f>S7*(L26*'Dados de Prod'!K10)</f>
        <v>1614794.9999999998</v>
      </c>
    </row>
    <row r="8" spans="4:24" x14ac:dyDescent="0.3">
      <c r="D8" s="202"/>
      <c r="E8" s="202"/>
      <c r="F8" s="202"/>
      <c r="G8" s="202"/>
      <c r="J8" s="228"/>
      <c r="K8" s="3" t="s">
        <v>5</v>
      </c>
      <c r="L8" s="6">
        <f>'Dados de Prod'!P30</f>
        <v>439.39999999999992</v>
      </c>
      <c r="M8" s="6">
        <f>$K$5*M7</f>
        <v>46.5</v>
      </c>
      <c r="N8" s="6">
        <f t="shared" ref="N8:O8" si="0">$K$5*N7</f>
        <v>45</v>
      </c>
      <c r="O8" s="6">
        <f t="shared" si="0"/>
        <v>46.5</v>
      </c>
      <c r="P8" s="15"/>
      <c r="R8" s="170" t="s">
        <v>4</v>
      </c>
      <c r="S8" s="222">
        <f t="shared" ref="S8:S9" si="1">L43*105%</f>
        <v>357</v>
      </c>
      <c r="T8" s="216">
        <f>S8*(L27*'Dados de Prod'!K9)</f>
        <v>2565044.9999999995</v>
      </c>
    </row>
    <row r="9" spans="4:24" ht="15" thickBot="1" x14ac:dyDescent="0.35">
      <c r="D9" s="202"/>
      <c r="E9" s="202"/>
      <c r="F9" s="202"/>
      <c r="G9" s="202"/>
      <c r="J9" s="228"/>
      <c r="K9" s="3" t="s">
        <v>4</v>
      </c>
      <c r="L9" s="6">
        <f>'Dados de Prod'!Q29</f>
        <v>431.09999999999991</v>
      </c>
      <c r="M9" s="6"/>
      <c r="N9" s="6">
        <f>$K$5*N7</f>
        <v>45</v>
      </c>
      <c r="O9" s="6">
        <f>$K$5*O7</f>
        <v>46.5</v>
      </c>
      <c r="P9" s="15">
        <f>$K$5*P7</f>
        <v>45</v>
      </c>
      <c r="R9" s="172" t="s">
        <v>3</v>
      </c>
      <c r="S9" s="217">
        <f t="shared" si="1"/>
        <v>357</v>
      </c>
      <c r="T9" s="218">
        <f>S9*(L28*'Dados de Prod'!K8)</f>
        <v>954618</v>
      </c>
    </row>
    <row r="10" spans="4:24" ht="15" thickBot="1" x14ac:dyDescent="0.35">
      <c r="D10" s="202"/>
      <c r="E10" s="202"/>
      <c r="F10" s="202"/>
      <c r="G10" s="202"/>
      <c r="J10" s="228"/>
      <c r="K10" s="8" t="s">
        <v>3</v>
      </c>
      <c r="L10" s="10">
        <f>'Dados de Prod'!Q28</f>
        <v>401.09999999999997</v>
      </c>
      <c r="M10" s="10"/>
      <c r="N10" s="10">
        <f>$K$5*N7</f>
        <v>45</v>
      </c>
      <c r="O10" s="10">
        <f t="shared" ref="O10:P10" si="2">$K$5*O7</f>
        <v>46.5</v>
      </c>
      <c r="P10" s="16">
        <f t="shared" si="2"/>
        <v>45</v>
      </c>
      <c r="R10" s="229"/>
      <c r="S10" s="245"/>
      <c r="T10" s="226">
        <f>SUM(T7:T9)</f>
        <v>5134457.9999999991</v>
      </c>
    </row>
    <row r="11" spans="4:24" x14ac:dyDescent="0.3">
      <c r="D11" s="202"/>
      <c r="E11" s="202"/>
      <c r="F11" s="202"/>
      <c r="G11" s="202"/>
      <c r="J11" s="228"/>
      <c r="K11" s="206"/>
      <c r="L11" s="229"/>
      <c r="M11" s="229"/>
      <c r="N11" s="229"/>
      <c r="O11" s="229"/>
      <c r="P11" s="230"/>
    </row>
    <row r="12" spans="4:24" ht="15" thickBot="1" x14ac:dyDescent="0.35">
      <c r="D12" s="202"/>
      <c r="E12" s="202"/>
      <c r="F12" s="202"/>
      <c r="G12" s="202"/>
      <c r="J12" s="228"/>
      <c r="K12" s="206"/>
      <c r="L12" s="229"/>
      <c r="M12" s="229"/>
      <c r="N12" s="229"/>
      <c r="O12" s="229"/>
      <c r="P12" s="230"/>
    </row>
    <row r="13" spans="4:24" x14ac:dyDescent="0.3">
      <c r="D13" s="202"/>
      <c r="E13" s="202"/>
      <c r="F13" s="202"/>
      <c r="G13" s="202"/>
      <c r="J13" s="227" t="s">
        <v>231</v>
      </c>
      <c r="K13" s="141" t="s">
        <v>226</v>
      </c>
      <c r="L13" s="209"/>
      <c r="M13" s="209"/>
      <c r="N13" s="209"/>
      <c r="O13" s="209"/>
      <c r="P13" s="210"/>
      <c r="R13" s="246" t="s">
        <v>241</v>
      </c>
      <c r="S13" s="247"/>
      <c r="T13" s="247"/>
    </row>
    <row r="14" spans="4:24" x14ac:dyDescent="0.3">
      <c r="D14" s="202"/>
      <c r="E14" s="202"/>
      <c r="F14" s="202"/>
      <c r="G14" s="202"/>
      <c r="J14" s="227"/>
      <c r="K14" s="139">
        <v>1.5</v>
      </c>
      <c r="L14" s="4" t="s">
        <v>14</v>
      </c>
      <c r="M14" s="4" t="s">
        <v>13</v>
      </c>
      <c r="N14" s="4" t="s">
        <v>16</v>
      </c>
      <c r="O14" s="4" t="s">
        <v>17</v>
      </c>
      <c r="P14" s="12" t="s">
        <v>18</v>
      </c>
      <c r="R14" s="247"/>
      <c r="S14" s="247"/>
      <c r="T14" s="247"/>
    </row>
    <row r="15" spans="4:24" x14ac:dyDescent="0.3">
      <c r="J15" s="228"/>
      <c r="K15" s="139"/>
      <c r="L15" s="4" t="s">
        <v>33</v>
      </c>
      <c r="M15" s="4" t="s">
        <v>32</v>
      </c>
      <c r="N15" s="4" t="s">
        <v>34</v>
      </c>
      <c r="O15" s="4" t="s">
        <v>35</v>
      </c>
      <c r="P15" s="12" t="s">
        <v>216</v>
      </c>
    </row>
    <row r="16" spans="4:24" x14ac:dyDescent="0.3">
      <c r="J16" s="228"/>
      <c r="K16" s="134"/>
      <c r="L16" s="4"/>
      <c r="M16" s="4">
        <v>31</v>
      </c>
      <c r="N16" s="4">
        <v>30</v>
      </c>
      <c r="O16" s="4">
        <v>31</v>
      </c>
      <c r="P16" s="12">
        <v>30</v>
      </c>
    </row>
    <row r="17" spans="10:16" x14ac:dyDescent="0.3">
      <c r="J17" s="228"/>
      <c r="K17" s="3" t="s">
        <v>5</v>
      </c>
      <c r="L17" s="6">
        <f>L8</f>
        <v>439.39999999999992</v>
      </c>
      <c r="M17" s="6">
        <f>L17+M8</f>
        <v>485.89999999999992</v>
      </c>
      <c r="N17" s="6">
        <f>M17+N8</f>
        <v>530.89999999999986</v>
      </c>
      <c r="O17" s="6">
        <f>N17+O8</f>
        <v>577.39999999999986</v>
      </c>
      <c r="P17" s="12"/>
    </row>
    <row r="18" spans="10:16" x14ac:dyDescent="0.3">
      <c r="J18" s="228"/>
      <c r="K18" s="3" t="s">
        <v>4</v>
      </c>
      <c r="L18" s="6">
        <f t="shared" ref="L18:L19" si="3">L9</f>
        <v>431.09999999999991</v>
      </c>
      <c r="M18" s="6">
        <f t="shared" ref="M18:M19" si="4">M9/30</f>
        <v>0</v>
      </c>
      <c r="N18" s="6">
        <f>L18+N9</f>
        <v>476.09999999999991</v>
      </c>
      <c r="O18" s="6">
        <f>N18+O9</f>
        <v>522.59999999999991</v>
      </c>
      <c r="P18" s="15">
        <f>O18+P9</f>
        <v>567.59999999999991</v>
      </c>
    </row>
    <row r="19" spans="10:16" ht="15" thickBot="1" x14ac:dyDescent="0.35">
      <c r="J19" s="228"/>
      <c r="K19" s="8" t="s">
        <v>3</v>
      </c>
      <c r="L19" s="6">
        <f t="shared" si="3"/>
        <v>401.09999999999997</v>
      </c>
      <c r="M19" s="10">
        <f t="shared" si="4"/>
        <v>0</v>
      </c>
      <c r="N19" s="10">
        <f>L19+N10</f>
        <v>446.09999999999997</v>
      </c>
      <c r="O19" s="10">
        <f>N19+O10</f>
        <v>492.59999999999997</v>
      </c>
      <c r="P19" s="16">
        <f>O19+P10</f>
        <v>537.59999999999991</v>
      </c>
    </row>
    <row r="20" spans="10:16" x14ac:dyDescent="0.3">
      <c r="J20" s="228"/>
      <c r="K20" s="206"/>
      <c r="L20" s="207"/>
      <c r="M20" s="207"/>
      <c r="N20" s="207"/>
      <c r="O20" s="207"/>
      <c r="P20" s="231"/>
    </row>
    <row r="21" spans="10:16" ht="15" thickBot="1" x14ac:dyDescent="0.35">
      <c r="J21" s="228"/>
      <c r="K21" s="206"/>
      <c r="L21" s="207"/>
      <c r="M21" s="207"/>
      <c r="N21" s="207"/>
      <c r="O21" s="207"/>
      <c r="P21" s="231"/>
    </row>
    <row r="22" spans="10:16" x14ac:dyDescent="0.3">
      <c r="J22" s="228"/>
      <c r="K22" s="141" t="s">
        <v>227</v>
      </c>
      <c r="L22" s="209"/>
      <c r="M22" s="209"/>
      <c r="N22" s="209"/>
      <c r="O22" s="209"/>
      <c r="P22" s="210"/>
    </row>
    <row r="23" spans="10:16" x14ac:dyDescent="0.3">
      <c r="J23" s="228"/>
      <c r="K23" s="139">
        <v>1.5</v>
      </c>
      <c r="L23" s="4" t="s">
        <v>14</v>
      </c>
      <c r="M23" s="4" t="s">
        <v>13</v>
      </c>
      <c r="N23" s="4" t="s">
        <v>16</v>
      </c>
      <c r="O23" s="4" t="s">
        <v>17</v>
      </c>
      <c r="P23" s="12" t="s">
        <v>18</v>
      </c>
    </row>
    <row r="24" spans="10:16" x14ac:dyDescent="0.3">
      <c r="J24" s="228"/>
      <c r="K24" s="139"/>
      <c r="L24" s="4" t="s">
        <v>33</v>
      </c>
      <c r="M24" s="4" t="s">
        <v>32</v>
      </c>
      <c r="N24" s="4" t="s">
        <v>34</v>
      </c>
      <c r="O24" s="4" t="s">
        <v>35</v>
      </c>
      <c r="P24" s="12" t="s">
        <v>216</v>
      </c>
    </row>
    <row r="25" spans="10:16" x14ac:dyDescent="0.3">
      <c r="J25" s="228"/>
      <c r="K25" s="134"/>
      <c r="L25" s="4"/>
      <c r="M25" s="4">
        <v>31</v>
      </c>
      <c r="N25" s="4">
        <v>30</v>
      </c>
      <c r="O25" s="4">
        <v>31</v>
      </c>
      <c r="P25" s="12">
        <v>30</v>
      </c>
    </row>
    <row r="26" spans="10:16" x14ac:dyDescent="0.3">
      <c r="J26" s="228"/>
      <c r="K26" s="3" t="s">
        <v>5</v>
      </c>
      <c r="L26" s="6">
        <f>L17/30</f>
        <v>14.646666666666665</v>
      </c>
      <c r="M26" s="6">
        <f t="shared" ref="M26:O26" si="5">M17/30</f>
        <v>16.196666666666665</v>
      </c>
      <c r="N26" s="6">
        <f t="shared" si="5"/>
        <v>17.696666666666662</v>
      </c>
      <c r="O26" s="6">
        <f t="shared" si="5"/>
        <v>19.246666666666663</v>
      </c>
      <c r="P26" s="12"/>
    </row>
    <row r="27" spans="10:16" x14ac:dyDescent="0.3">
      <c r="J27" s="228"/>
      <c r="K27" s="3" t="s">
        <v>4</v>
      </c>
      <c r="L27" s="6">
        <f>L18/30</f>
        <v>14.369999999999997</v>
      </c>
      <c r="M27" s="6">
        <f t="shared" ref="M27:P27" si="6">M18/30</f>
        <v>0</v>
      </c>
      <c r="N27" s="6">
        <f t="shared" si="6"/>
        <v>15.869999999999997</v>
      </c>
      <c r="O27" s="6">
        <f t="shared" si="6"/>
        <v>17.419999999999998</v>
      </c>
      <c r="P27" s="15">
        <f t="shared" si="6"/>
        <v>18.919999999999998</v>
      </c>
    </row>
    <row r="28" spans="10:16" ht="15" thickBot="1" x14ac:dyDescent="0.35">
      <c r="J28" s="228"/>
      <c r="K28" s="8" t="s">
        <v>3</v>
      </c>
      <c r="L28" s="6">
        <f>L19/30</f>
        <v>13.37</v>
      </c>
      <c r="M28" s="6">
        <f t="shared" ref="M28:P28" si="7">M19/30</f>
        <v>0</v>
      </c>
      <c r="N28" s="6">
        <f t="shared" si="7"/>
        <v>14.87</v>
      </c>
      <c r="O28" s="6">
        <f t="shared" si="7"/>
        <v>16.419999999999998</v>
      </c>
      <c r="P28" s="15">
        <f t="shared" si="7"/>
        <v>17.919999999999998</v>
      </c>
    </row>
    <row r="29" spans="10:16" x14ac:dyDescent="0.3">
      <c r="J29" s="228"/>
      <c r="K29" s="206"/>
      <c r="L29" s="207"/>
      <c r="M29" s="207"/>
      <c r="N29" s="207"/>
      <c r="O29" s="207"/>
      <c r="P29" s="231"/>
    </row>
    <row r="30" spans="10:16" ht="15" thickBot="1" x14ac:dyDescent="0.35">
      <c r="J30" s="228"/>
      <c r="K30" s="206"/>
      <c r="L30" s="229"/>
      <c r="M30" s="229"/>
      <c r="N30" s="229"/>
      <c r="O30" s="229"/>
      <c r="P30" s="230"/>
    </row>
    <row r="31" spans="10:16" x14ac:dyDescent="0.3">
      <c r="J31" s="227" t="s">
        <v>232</v>
      </c>
      <c r="K31" s="141" t="s">
        <v>42</v>
      </c>
      <c r="L31" s="210"/>
      <c r="M31" s="229"/>
      <c r="N31" s="229"/>
      <c r="O31" s="141" t="s">
        <v>229</v>
      </c>
      <c r="P31" s="210"/>
    </row>
    <row r="32" spans="10:16" x14ac:dyDescent="0.3">
      <c r="J32" s="227"/>
      <c r="K32" s="211"/>
      <c r="L32" s="212"/>
      <c r="M32" s="229"/>
      <c r="N32" s="229"/>
      <c r="O32" s="211"/>
      <c r="P32" s="212"/>
    </row>
    <row r="33" spans="10:16" x14ac:dyDescent="0.3">
      <c r="J33" s="228"/>
      <c r="K33" s="3" t="s">
        <v>5</v>
      </c>
      <c r="L33" s="15">
        <f>(O17*55%)/15</f>
        <v>21.17133333333333</v>
      </c>
      <c r="M33" s="229"/>
      <c r="N33" s="229"/>
      <c r="O33" s="3" t="s">
        <v>5</v>
      </c>
      <c r="P33" s="21">
        <f>L33*'Dados de Prod'!K10</f>
        <v>6351.3999999999987</v>
      </c>
    </row>
    <row r="34" spans="10:16" x14ac:dyDescent="0.3">
      <c r="J34" s="228"/>
      <c r="K34" s="3" t="s">
        <v>4</v>
      </c>
      <c r="L34" s="15">
        <f>(P18*55%)/15</f>
        <v>20.811999999999998</v>
      </c>
      <c r="M34" s="229"/>
      <c r="N34" s="229"/>
      <c r="O34" s="3" t="s">
        <v>4</v>
      </c>
      <c r="P34" s="21">
        <f>L34*'Dados de Prod'!K9</f>
        <v>10405.999999999998</v>
      </c>
    </row>
    <row r="35" spans="10:16" ht="15" thickBot="1" x14ac:dyDescent="0.35">
      <c r="J35" s="228"/>
      <c r="K35" s="8" t="s">
        <v>3</v>
      </c>
      <c r="L35" s="15">
        <f>(P19*55%)/15</f>
        <v>19.711999999999996</v>
      </c>
      <c r="M35" s="229"/>
      <c r="N35" s="229"/>
      <c r="O35" s="8" t="s">
        <v>3</v>
      </c>
      <c r="P35" s="36">
        <f>L35*'Dados de Prod'!K8</f>
        <v>3942.3999999999992</v>
      </c>
    </row>
    <row r="36" spans="10:16" ht="15" thickBot="1" x14ac:dyDescent="0.35">
      <c r="J36" s="228"/>
      <c r="K36" s="206"/>
      <c r="L36" s="229"/>
      <c r="M36" s="229"/>
      <c r="N36" s="229"/>
      <c r="O36" s="229"/>
      <c r="P36" s="37">
        <f>SUM(P33:P35)</f>
        <v>20699.799999999996</v>
      </c>
    </row>
    <row r="37" spans="10:16" x14ac:dyDescent="0.3">
      <c r="J37" s="228"/>
      <c r="K37" s="229"/>
      <c r="L37" s="229"/>
      <c r="M37" s="229"/>
      <c r="N37" s="229"/>
      <c r="O37" s="229"/>
      <c r="P37" s="230"/>
    </row>
    <row r="38" spans="10:16" ht="15" thickBot="1" x14ac:dyDescent="0.35">
      <c r="J38" s="228"/>
      <c r="K38" s="229"/>
      <c r="L38" s="229"/>
      <c r="M38" s="229"/>
      <c r="N38" s="229"/>
      <c r="O38" s="229"/>
      <c r="P38" s="230"/>
    </row>
    <row r="39" spans="10:16" x14ac:dyDescent="0.3">
      <c r="J39" s="227" t="s">
        <v>236</v>
      </c>
      <c r="K39" s="213" t="s">
        <v>235</v>
      </c>
      <c r="L39" s="214"/>
      <c r="M39" s="160"/>
      <c r="N39" s="229"/>
      <c r="O39" s="229"/>
      <c r="P39" s="230"/>
    </row>
    <row r="40" spans="10:16" ht="15" thickBot="1" x14ac:dyDescent="0.35">
      <c r="J40" s="227"/>
      <c r="K40" s="219"/>
      <c r="L40" s="220"/>
      <c r="M40" s="221"/>
      <c r="N40" s="229"/>
      <c r="O40" s="229"/>
      <c r="P40" s="230"/>
    </row>
    <row r="41" spans="10:16" ht="15" thickBot="1" x14ac:dyDescent="0.35">
      <c r="J41" s="227" t="s">
        <v>237</v>
      </c>
      <c r="K41" s="224" t="s">
        <v>233</v>
      </c>
      <c r="L41" s="225" t="s">
        <v>234</v>
      </c>
      <c r="M41" s="178" t="s">
        <v>115</v>
      </c>
      <c r="N41" s="229"/>
      <c r="O41" s="229"/>
      <c r="P41" s="230"/>
    </row>
    <row r="42" spans="10:16" x14ac:dyDescent="0.3">
      <c r="J42" s="227"/>
      <c r="K42" s="169" t="s">
        <v>5</v>
      </c>
      <c r="L42" s="222">
        <v>350</v>
      </c>
      <c r="M42" s="223">
        <f>L42*P33</f>
        <v>2222989.9999999995</v>
      </c>
      <c r="N42" s="229"/>
      <c r="O42" s="229"/>
      <c r="P42" s="230"/>
    </row>
    <row r="43" spans="10:16" x14ac:dyDescent="0.3">
      <c r="J43" s="228"/>
      <c r="K43" s="170" t="s">
        <v>4</v>
      </c>
      <c r="L43" s="215">
        <v>340</v>
      </c>
      <c r="M43" s="216">
        <f t="shared" ref="M43:M44" si="8">L43*P34</f>
        <v>3538039.9999999995</v>
      </c>
      <c r="N43" s="229"/>
      <c r="O43" s="229"/>
      <c r="P43" s="230"/>
    </row>
    <row r="44" spans="10:16" ht="15" thickBot="1" x14ac:dyDescent="0.35">
      <c r="J44" s="228"/>
      <c r="K44" s="172" t="s">
        <v>3</v>
      </c>
      <c r="L44" s="217">
        <v>340</v>
      </c>
      <c r="M44" s="218">
        <f t="shared" si="8"/>
        <v>1340415.9999999998</v>
      </c>
      <c r="N44" s="229"/>
      <c r="O44" s="229"/>
      <c r="P44" s="230"/>
    </row>
    <row r="45" spans="10:16" ht="15" thickBot="1" x14ac:dyDescent="0.35">
      <c r="J45" s="232"/>
      <c r="K45" s="233"/>
      <c r="L45" s="234"/>
      <c r="M45" s="226">
        <f>SUM(M42:M44)</f>
        <v>7101445.9999999991</v>
      </c>
      <c r="N45" s="233"/>
      <c r="O45" s="233"/>
      <c r="P45" s="235"/>
    </row>
  </sheetData>
  <mergeCells count="19">
    <mergeCell ref="J41:J42"/>
    <mergeCell ref="R2:X3"/>
    <mergeCell ref="R4:T5"/>
    <mergeCell ref="R13:T14"/>
    <mergeCell ref="J13:J14"/>
    <mergeCell ref="J31:J32"/>
    <mergeCell ref="J2:P3"/>
    <mergeCell ref="K39:M40"/>
    <mergeCell ref="J39:J40"/>
    <mergeCell ref="D4:G14"/>
    <mergeCell ref="K4:P4"/>
    <mergeCell ref="K5:K6"/>
    <mergeCell ref="K13:P13"/>
    <mergeCell ref="K14:K15"/>
    <mergeCell ref="K31:L32"/>
    <mergeCell ref="O31:P32"/>
    <mergeCell ref="K22:P22"/>
    <mergeCell ref="K23:K24"/>
    <mergeCell ref="J4:J5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777C-92EA-413F-ADFD-C5B99CF502EB}">
  <dimension ref="B1:Y43"/>
  <sheetViews>
    <sheetView zoomScale="90" zoomScaleNormal="90" workbookViewId="0">
      <selection activeCell="B3" sqref="B3:H12"/>
    </sheetView>
  </sheetViews>
  <sheetFormatPr defaultRowHeight="14.4" x14ac:dyDescent="0.3"/>
  <cols>
    <col min="1" max="8" width="8.88671875" style="1"/>
    <col min="9" max="9" width="23" style="1" bestFit="1" customWidth="1"/>
    <col min="10" max="10" width="21.33203125" style="1" bestFit="1" customWidth="1"/>
    <col min="11" max="18" width="13.5546875" style="1" bestFit="1" customWidth="1"/>
    <col min="19" max="21" width="15.77734375" style="1" bestFit="1" customWidth="1"/>
    <col min="22" max="23" width="8.88671875" style="1"/>
    <col min="24" max="24" width="18" style="1" bestFit="1" customWidth="1"/>
    <col min="25" max="25" width="13" style="1" bestFit="1" customWidth="1"/>
    <col min="26" max="16384" width="8.88671875" style="1"/>
  </cols>
  <sheetData>
    <row r="1" spans="2:25" x14ac:dyDescent="0.3">
      <c r="I1" s="135" t="s">
        <v>53</v>
      </c>
      <c r="J1" s="137">
        <v>0</v>
      </c>
      <c r="K1" s="23">
        <v>46023</v>
      </c>
      <c r="L1" s="23">
        <v>46054</v>
      </c>
      <c r="M1" s="23">
        <v>46082</v>
      </c>
      <c r="N1" s="23">
        <v>46113</v>
      </c>
      <c r="O1" s="23">
        <v>46143</v>
      </c>
      <c r="P1" s="23">
        <v>46174</v>
      </c>
      <c r="Q1" s="23">
        <v>46204</v>
      </c>
      <c r="R1" s="23">
        <v>46235</v>
      </c>
      <c r="S1" s="23">
        <v>46266</v>
      </c>
      <c r="T1" s="23">
        <v>46296</v>
      </c>
      <c r="U1" s="23">
        <v>46327</v>
      </c>
    </row>
    <row r="2" spans="2:25" ht="15" thickBot="1" x14ac:dyDescent="0.35">
      <c r="I2" s="136"/>
      <c r="J2" s="138"/>
      <c r="K2" s="24">
        <v>1</v>
      </c>
      <c r="L2" s="24">
        <v>2</v>
      </c>
      <c r="M2" s="24">
        <v>3</v>
      </c>
      <c r="N2" s="24">
        <v>4</v>
      </c>
      <c r="O2" s="24">
        <v>5</v>
      </c>
      <c r="P2" s="24">
        <v>6</v>
      </c>
      <c r="Q2" s="24">
        <v>7</v>
      </c>
      <c r="R2" s="24">
        <v>8</v>
      </c>
      <c r="S2" s="24">
        <v>9</v>
      </c>
      <c r="T2" s="24">
        <v>10</v>
      </c>
      <c r="U2" s="24">
        <v>11</v>
      </c>
    </row>
    <row r="3" spans="2:25" ht="15" thickBot="1" x14ac:dyDescent="0.35">
      <c r="B3" s="246" t="s">
        <v>242</v>
      </c>
      <c r="C3" s="247"/>
      <c r="D3" s="247"/>
      <c r="E3" s="247"/>
      <c r="F3" s="247"/>
      <c r="G3" s="247"/>
      <c r="H3" s="208"/>
      <c r="I3" s="28" t="s">
        <v>54</v>
      </c>
      <c r="J3" s="42">
        <f>-J5-K4</f>
        <v>-3227000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</row>
    <row r="4" spans="2:25" ht="15" thickBot="1" x14ac:dyDescent="0.35">
      <c r="B4" s="247"/>
      <c r="C4" s="247"/>
      <c r="D4" s="247"/>
      <c r="E4" s="247"/>
      <c r="F4" s="247"/>
      <c r="G4" s="247"/>
      <c r="H4" s="208"/>
      <c r="I4" s="29" t="s">
        <v>55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X4" s="248" t="str">
        <f>I3</f>
        <v>INVESTIMENTOS</v>
      </c>
      <c r="Y4" s="249">
        <f>-J3</f>
        <v>3227000</v>
      </c>
    </row>
    <row r="5" spans="2:25" ht="15" thickBot="1" x14ac:dyDescent="0.35">
      <c r="B5" s="247"/>
      <c r="C5" s="247"/>
      <c r="D5" s="247"/>
      <c r="E5" s="247"/>
      <c r="F5" s="247"/>
      <c r="G5" s="247"/>
      <c r="H5" s="208"/>
      <c r="I5" s="26" t="s">
        <v>56</v>
      </c>
      <c r="J5" s="46">
        <f>(Produção!T5*Produção!Q5)+(Produção!T6*Produção!Q6)+(Produção!T7*Produção!Q7)</f>
        <v>3227000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7"/>
      <c r="X5" s="189" t="str">
        <f>I14</f>
        <v>CUSTOS FIXOS</v>
      </c>
      <c r="Y5" s="250">
        <f>SUM(K14:U14)</f>
        <v>662200</v>
      </c>
    </row>
    <row r="6" spans="2:25" ht="15" thickBot="1" x14ac:dyDescent="0.35">
      <c r="B6" s="247"/>
      <c r="C6" s="247"/>
      <c r="D6" s="247"/>
      <c r="E6" s="247"/>
      <c r="F6" s="247"/>
      <c r="G6" s="247"/>
      <c r="H6" s="208"/>
      <c r="I6" s="38" t="s">
        <v>57</v>
      </c>
      <c r="J6" s="48"/>
      <c r="K6" s="48">
        <f t="shared" ref="K6:U6" si="0">SUM(K7:K13)</f>
        <v>0</v>
      </c>
      <c r="L6" s="48">
        <f t="shared" si="0"/>
        <v>0</v>
      </c>
      <c r="M6" s="48">
        <f t="shared" si="0"/>
        <v>0</v>
      </c>
      <c r="N6" s="48">
        <f t="shared" si="0"/>
        <v>0</v>
      </c>
      <c r="O6" s="48">
        <f t="shared" si="0"/>
        <v>0</v>
      </c>
      <c r="P6" s="48">
        <f t="shared" si="0"/>
        <v>0</v>
      </c>
      <c r="Q6" s="48">
        <f t="shared" si="0"/>
        <v>0</v>
      </c>
      <c r="R6" s="48">
        <f t="shared" si="0"/>
        <v>0</v>
      </c>
      <c r="S6" s="48">
        <f t="shared" si="0"/>
        <v>0</v>
      </c>
      <c r="T6" s="48">
        <f t="shared" si="0"/>
        <v>2222989.9999999995</v>
      </c>
      <c r="U6" s="49">
        <f t="shared" si="0"/>
        <v>4878455.9999999991</v>
      </c>
      <c r="X6" s="189" t="str">
        <f>I28</f>
        <v>CUSTOS VARIÁVEIS</v>
      </c>
      <c r="Y6" s="250">
        <f>SUM(K28:U28)</f>
        <v>2055580.65</v>
      </c>
    </row>
    <row r="7" spans="2:25" x14ac:dyDescent="0.3">
      <c r="B7" s="247"/>
      <c r="C7" s="247"/>
      <c r="D7" s="247"/>
      <c r="E7" s="247"/>
      <c r="F7" s="247"/>
      <c r="G7" s="247"/>
      <c r="H7" s="208"/>
      <c r="I7" s="27" t="s">
        <v>58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3"/>
      <c r="X7" s="189" t="s">
        <v>244</v>
      </c>
      <c r="Y7" s="250">
        <f>Y4+Y5+Y6</f>
        <v>5944780.6500000004</v>
      </c>
    </row>
    <row r="8" spans="2:25" x14ac:dyDescent="0.3">
      <c r="B8" s="247"/>
      <c r="C8" s="247"/>
      <c r="D8" s="247"/>
      <c r="E8" s="247"/>
      <c r="F8" s="247"/>
      <c r="G8" s="247"/>
      <c r="H8" s="208"/>
      <c r="I8" s="25" t="s">
        <v>59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>
        <f>'Dados de Faturamento'!M42</f>
        <v>2222989.9999999995</v>
      </c>
      <c r="U8" s="50">
        <f>'Dados de Faturamento'!M43+'Dados de Faturamento'!M44</f>
        <v>4878455.9999999991</v>
      </c>
      <c r="X8" s="189" t="s">
        <v>235</v>
      </c>
      <c r="Y8" s="250">
        <f>SUM(T8:U8)</f>
        <v>7101445.9999999981</v>
      </c>
    </row>
    <row r="9" spans="2:25" x14ac:dyDescent="0.3">
      <c r="B9" s="247"/>
      <c r="C9" s="247"/>
      <c r="D9" s="247"/>
      <c r="E9" s="247"/>
      <c r="F9" s="247"/>
      <c r="G9" s="247"/>
      <c r="H9" s="208"/>
      <c r="I9" s="25" t="s">
        <v>60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50"/>
      <c r="X9" s="189" t="s">
        <v>142</v>
      </c>
      <c r="Y9" s="250">
        <f>Y8-Y7</f>
        <v>1156665.3499999978</v>
      </c>
    </row>
    <row r="10" spans="2:25" x14ac:dyDescent="0.3">
      <c r="B10" s="247"/>
      <c r="C10" s="247"/>
      <c r="D10" s="247"/>
      <c r="E10" s="247"/>
      <c r="F10" s="247"/>
      <c r="G10" s="247"/>
      <c r="H10" s="208"/>
      <c r="I10" s="25" t="s">
        <v>61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50"/>
      <c r="X10" s="189" t="s">
        <v>245</v>
      </c>
      <c r="Y10" s="251">
        <f>Y9/(Y4+Y5+Y6)</f>
        <v>0.19456821337890703</v>
      </c>
    </row>
    <row r="11" spans="2:25" ht="15" thickBot="1" x14ac:dyDescent="0.35">
      <c r="B11" s="247"/>
      <c r="C11" s="247"/>
      <c r="D11" s="247"/>
      <c r="E11" s="247"/>
      <c r="F11" s="247"/>
      <c r="G11" s="247"/>
      <c r="H11" s="208"/>
      <c r="I11" s="25" t="s">
        <v>62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50"/>
      <c r="X11" s="191" t="s">
        <v>246</v>
      </c>
      <c r="Y11" s="252">
        <f>Y9/Y8</f>
        <v>0.16287744073530913</v>
      </c>
    </row>
    <row r="12" spans="2:25" x14ac:dyDescent="0.3">
      <c r="B12" s="247"/>
      <c r="C12" s="247"/>
      <c r="D12" s="247"/>
      <c r="E12" s="247"/>
      <c r="F12" s="247"/>
      <c r="G12" s="247"/>
      <c r="H12" s="208"/>
      <c r="I12" s="25" t="s">
        <v>63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50"/>
    </row>
    <row r="13" spans="2:25" ht="15" thickBot="1" x14ac:dyDescent="0.35">
      <c r="I13" s="26" t="s">
        <v>64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7"/>
    </row>
    <row r="14" spans="2:25" ht="15" thickBot="1" x14ac:dyDescent="0.35">
      <c r="I14" s="39" t="s">
        <v>65</v>
      </c>
      <c r="J14" s="51"/>
      <c r="K14" s="51">
        <f t="shared" ref="K14:U14" si="1">SUM(K15:K27)</f>
        <v>60200</v>
      </c>
      <c r="L14" s="51">
        <f t="shared" si="1"/>
        <v>60200</v>
      </c>
      <c r="M14" s="51">
        <f t="shared" si="1"/>
        <v>60200</v>
      </c>
      <c r="N14" s="51">
        <f t="shared" si="1"/>
        <v>60200</v>
      </c>
      <c r="O14" s="51">
        <f t="shared" si="1"/>
        <v>60200</v>
      </c>
      <c r="P14" s="51">
        <f t="shared" si="1"/>
        <v>60200</v>
      </c>
      <c r="Q14" s="51">
        <f t="shared" si="1"/>
        <v>60200</v>
      </c>
      <c r="R14" s="51">
        <f t="shared" si="1"/>
        <v>60200</v>
      </c>
      <c r="S14" s="51">
        <f t="shared" si="1"/>
        <v>60200</v>
      </c>
      <c r="T14" s="51">
        <f t="shared" si="1"/>
        <v>60200</v>
      </c>
      <c r="U14" s="52">
        <f t="shared" si="1"/>
        <v>60200</v>
      </c>
    </row>
    <row r="15" spans="2:25" x14ac:dyDescent="0.3">
      <c r="B15" s="246" t="s">
        <v>243</v>
      </c>
      <c r="C15" s="247"/>
      <c r="D15" s="247"/>
      <c r="E15" s="247"/>
      <c r="F15" s="247"/>
      <c r="G15" s="247"/>
      <c r="H15" s="208"/>
      <c r="I15" s="27" t="s">
        <v>66</v>
      </c>
      <c r="J15" s="42"/>
      <c r="K15" s="42">
        <v>5000</v>
      </c>
      <c r="L15" s="42">
        <v>5000</v>
      </c>
      <c r="M15" s="42">
        <v>5000</v>
      </c>
      <c r="N15" s="42">
        <v>5000</v>
      </c>
      <c r="O15" s="42">
        <v>5000</v>
      </c>
      <c r="P15" s="42">
        <v>5000</v>
      </c>
      <c r="Q15" s="42">
        <v>5000</v>
      </c>
      <c r="R15" s="42">
        <v>5000</v>
      </c>
      <c r="S15" s="42">
        <v>5000</v>
      </c>
      <c r="T15" s="42">
        <v>5000</v>
      </c>
      <c r="U15" s="42">
        <v>5000</v>
      </c>
    </row>
    <row r="16" spans="2:25" x14ac:dyDescent="0.3">
      <c r="B16" s="247"/>
      <c r="C16" s="247"/>
      <c r="D16" s="247"/>
      <c r="E16" s="247"/>
      <c r="F16" s="247"/>
      <c r="G16" s="247"/>
      <c r="H16" s="208"/>
      <c r="I16" s="27" t="s">
        <v>132</v>
      </c>
      <c r="J16" s="42"/>
      <c r="K16" s="42">
        <v>5000</v>
      </c>
      <c r="L16" s="42">
        <v>5000</v>
      </c>
      <c r="M16" s="42">
        <v>5000</v>
      </c>
      <c r="N16" s="42">
        <v>5000</v>
      </c>
      <c r="O16" s="42">
        <v>5000</v>
      </c>
      <c r="P16" s="42">
        <v>5000</v>
      </c>
      <c r="Q16" s="42">
        <v>5000</v>
      </c>
      <c r="R16" s="42">
        <v>5000</v>
      </c>
      <c r="S16" s="42">
        <v>5000</v>
      </c>
      <c r="T16" s="42">
        <v>5000</v>
      </c>
      <c r="U16" s="42">
        <v>5000</v>
      </c>
    </row>
    <row r="17" spans="2:21" x14ac:dyDescent="0.3">
      <c r="B17" s="247"/>
      <c r="C17" s="247"/>
      <c r="D17" s="247"/>
      <c r="E17" s="247"/>
      <c r="F17" s="247"/>
      <c r="G17" s="247"/>
      <c r="H17" s="208"/>
      <c r="I17" s="25" t="s">
        <v>67</v>
      </c>
      <c r="J17" s="41"/>
      <c r="K17" s="41">
        <v>20000</v>
      </c>
      <c r="L17" s="41">
        <v>20000</v>
      </c>
      <c r="M17" s="41">
        <v>20000</v>
      </c>
      <c r="N17" s="41">
        <v>20000</v>
      </c>
      <c r="O17" s="41">
        <v>20000</v>
      </c>
      <c r="P17" s="41">
        <v>20000</v>
      </c>
      <c r="Q17" s="41">
        <v>20000</v>
      </c>
      <c r="R17" s="41">
        <v>20000</v>
      </c>
      <c r="S17" s="41">
        <v>20000</v>
      </c>
      <c r="T17" s="41">
        <v>20000</v>
      </c>
      <c r="U17" s="41">
        <v>20000</v>
      </c>
    </row>
    <row r="18" spans="2:21" x14ac:dyDescent="0.3">
      <c r="B18" s="247"/>
      <c r="C18" s="247"/>
      <c r="D18" s="247"/>
      <c r="E18" s="247"/>
      <c r="F18" s="247"/>
      <c r="G18" s="247"/>
      <c r="H18" s="208"/>
      <c r="I18" s="25" t="s">
        <v>68</v>
      </c>
      <c r="J18" s="41"/>
      <c r="K18" s="41">
        <v>3000</v>
      </c>
      <c r="L18" s="41">
        <v>3000</v>
      </c>
      <c r="M18" s="41">
        <v>3000</v>
      </c>
      <c r="N18" s="41">
        <v>3000</v>
      </c>
      <c r="O18" s="41">
        <v>3000</v>
      </c>
      <c r="P18" s="41">
        <v>3000</v>
      </c>
      <c r="Q18" s="41">
        <v>3000</v>
      </c>
      <c r="R18" s="41">
        <v>3000</v>
      </c>
      <c r="S18" s="41">
        <v>3000</v>
      </c>
      <c r="T18" s="41">
        <v>3000</v>
      </c>
      <c r="U18" s="41">
        <v>3000</v>
      </c>
    </row>
    <row r="19" spans="2:21" x14ac:dyDescent="0.3">
      <c r="B19" s="247"/>
      <c r="C19" s="247"/>
      <c r="D19" s="247"/>
      <c r="E19" s="247"/>
      <c r="F19" s="247"/>
      <c r="G19" s="247"/>
      <c r="H19" s="208"/>
      <c r="I19" s="25" t="s">
        <v>69</v>
      </c>
      <c r="J19" s="41"/>
      <c r="K19" s="41">
        <v>2000</v>
      </c>
      <c r="L19" s="41">
        <v>2000</v>
      </c>
      <c r="M19" s="41">
        <v>2000</v>
      </c>
      <c r="N19" s="41">
        <v>2000</v>
      </c>
      <c r="O19" s="41">
        <v>2000</v>
      </c>
      <c r="P19" s="41">
        <v>2000</v>
      </c>
      <c r="Q19" s="41">
        <v>2000</v>
      </c>
      <c r="R19" s="41">
        <v>2000</v>
      </c>
      <c r="S19" s="41">
        <v>2000</v>
      </c>
      <c r="T19" s="41">
        <v>2000</v>
      </c>
      <c r="U19" s="41">
        <v>2000</v>
      </c>
    </row>
    <row r="20" spans="2:21" x14ac:dyDescent="0.3">
      <c r="B20" s="247"/>
      <c r="C20" s="247"/>
      <c r="D20" s="247"/>
      <c r="E20" s="247"/>
      <c r="F20" s="247"/>
      <c r="G20" s="247"/>
      <c r="H20" s="208"/>
      <c r="I20" s="25" t="s">
        <v>70</v>
      </c>
      <c r="J20" s="41"/>
      <c r="K20" s="41">
        <v>15000</v>
      </c>
      <c r="L20" s="41">
        <v>15000</v>
      </c>
      <c r="M20" s="41">
        <v>15000</v>
      </c>
      <c r="N20" s="41">
        <v>15000</v>
      </c>
      <c r="O20" s="41">
        <v>15000</v>
      </c>
      <c r="P20" s="41">
        <v>15000</v>
      </c>
      <c r="Q20" s="41">
        <v>15000</v>
      </c>
      <c r="R20" s="41">
        <v>15000</v>
      </c>
      <c r="S20" s="41">
        <v>15000</v>
      </c>
      <c r="T20" s="41">
        <v>15000</v>
      </c>
      <c r="U20" s="41">
        <v>15000</v>
      </c>
    </row>
    <row r="21" spans="2:21" x14ac:dyDescent="0.3">
      <c r="B21" s="247"/>
      <c r="C21" s="247"/>
      <c r="D21" s="247"/>
      <c r="E21" s="247"/>
      <c r="F21" s="247"/>
      <c r="G21" s="247"/>
      <c r="H21" s="208"/>
      <c r="I21" s="25" t="s">
        <v>71</v>
      </c>
      <c r="J21" s="41"/>
      <c r="K21" s="41">
        <v>5000</v>
      </c>
      <c r="L21" s="41">
        <v>5000</v>
      </c>
      <c r="M21" s="41">
        <v>5000</v>
      </c>
      <c r="N21" s="41">
        <v>5000</v>
      </c>
      <c r="O21" s="41">
        <v>5000</v>
      </c>
      <c r="P21" s="41">
        <v>5000</v>
      </c>
      <c r="Q21" s="41">
        <v>5000</v>
      </c>
      <c r="R21" s="41">
        <v>5000</v>
      </c>
      <c r="S21" s="41">
        <v>5000</v>
      </c>
      <c r="T21" s="41">
        <v>5000</v>
      </c>
      <c r="U21" s="41">
        <v>5000</v>
      </c>
    </row>
    <row r="22" spans="2:21" x14ac:dyDescent="0.3">
      <c r="B22" s="247"/>
      <c r="C22" s="247"/>
      <c r="D22" s="247"/>
      <c r="E22" s="247"/>
      <c r="F22" s="247"/>
      <c r="G22" s="247"/>
      <c r="H22" s="208"/>
      <c r="I22" s="25" t="s">
        <v>72</v>
      </c>
      <c r="J22" s="41"/>
      <c r="K22" s="41">
        <v>1000</v>
      </c>
      <c r="L22" s="41">
        <v>1000</v>
      </c>
      <c r="M22" s="41">
        <v>1000</v>
      </c>
      <c r="N22" s="41">
        <v>1000</v>
      </c>
      <c r="O22" s="41">
        <v>1000</v>
      </c>
      <c r="P22" s="41">
        <v>1000</v>
      </c>
      <c r="Q22" s="41">
        <v>1000</v>
      </c>
      <c r="R22" s="41">
        <v>1000</v>
      </c>
      <c r="S22" s="41">
        <v>1000</v>
      </c>
      <c r="T22" s="41">
        <v>1000</v>
      </c>
      <c r="U22" s="41">
        <v>1000</v>
      </c>
    </row>
    <row r="23" spans="2:21" x14ac:dyDescent="0.3">
      <c r="B23" s="247"/>
      <c r="C23" s="247"/>
      <c r="D23" s="247"/>
      <c r="E23" s="247"/>
      <c r="F23" s="247"/>
      <c r="G23" s="247"/>
      <c r="H23" s="208"/>
      <c r="I23" s="25" t="s">
        <v>73</v>
      </c>
      <c r="J23" s="41"/>
      <c r="K23" s="41">
        <v>2000</v>
      </c>
      <c r="L23" s="41">
        <v>2000</v>
      </c>
      <c r="M23" s="41">
        <v>2000</v>
      </c>
      <c r="N23" s="41">
        <v>2000</v>
      </c>
      <c r="O23" s="41">
        <v>2000</v>
      </c>
      <c r="P23" s="41">
        <v>2000</v>
      </c>
      <c r="Q23" s="41">
        <v>2000</v>
      </c>
      <c r="R23" s="41">
        <v>2000</v>
      </c>
      <c r="S23" s="41">
        <v>2000</v>
      </c>
      <c r="T23" s="41">
        <v>2000</v>
      </c>
      <c r="U23" s="41">
        <v>2000</v>
      </c>
    </row>
    <row r="24" spans="2:21" x14ac:dyDescent="0.3">
      <c r="B24" s="247"/>
      <c r="C24" s="247"/>
      <c r="D24" s="247"/>
      <c r="E24" s="247"/>
      <c r="F24" s="247"/>
      <c r="G24" s="247"/>
      <c r="H24" s="208"/>
      <c r="I24" s="25" t="s">
        <v>74</v>
      </c>
      <c r="J24" s="41"/>
      <c r="K24" s="41">
        <v>500</v>
      </c>
      <c r="L24" s="41">
        <v>500</v>
      </c>
      <c r="M24" s="41">
        <v>500</v>
      </c>
      <c r="N24" s="41">
        <v>500</v>
      </c>
      <c r="O24" s="41">
        <v>500</v>
      </c>
      <c r="P24" s="41">
        <v>500</v>
      </c>
      <c r="Q24" s="41">
        <v>500</v>
      </c>
      <c r="R24" s="41">
        <v>500</v>
      </c>
      <c r="S24" s="41">
        <v>500</v>
      </c>
      <c r="T24" s="41">
        <v>500</v>
      </c>
      <c r="U24" s="41">
        <v>500</v>
      </c>
    </row>
    <row r="25" spans="2:21" x14ac:dyDescent="0.3">
      <c r="I25" s="25" t="s">
        <v>75</v>
      </c>
      <c r="J25" s="41"/>
      <c r="K25" s="41">
        <v>500</v>
      </c>
      <c r="L25" s="41">
        <v>500</v>
      </c>
      <c r="M25" s="41">
        <v>500</v>
      </c>
      <c r="N25" s="41">
        <v>500</v>
      </c>
      <c r="O25" s="41">
        <v>500</v>
      </c>
      <c r="P25" s="41">
        <v>500</v>
      </c>
      <c r="Q25" s="41">
        <v>500</v>
      </c>
      <c r="R25" s="41">
        <v>500</v>
      </c>
      <c r="S25" s="41">
        <v>500</v>
      </c>
      <c r="T25" s="41">
        <v>500</v>
      </c>
      <c r="U25" s="41">
        <v>500</v>
      </c>
    </row>
    <row r="26" spans="2:21" x14ac:dyDescent="0.3">
      <c r="I26" s="25" t="s">
        <v>76</v>
      </c>
      <c r="J26" s="41"/>
      <c r="K26" s="41">
        <v>200</v>
      </c>
      <c r="L26" s="41">
        <v>200</v>
      </c>
      <c r="M26" s="41">
        <v>200</v>
      </c>
      <c r="N26" s="41">
        <v>200</v>
      </c>
      <c r="O26" s="41">
        <v>200</v>
      </c>
      <c r="P26" s="41">
        <v>200</v>
      </c>
      <c r="Q26" s="41">
        <v>200</v>
      </c>
      <c r="R26" s="41">
        <v>200</v>
      </c>
      <c r="S26" s="41">
        <v>200</v>
      </c>
      <c r="T26" s="41">
        <v>200</v>
      </c>
      <c r="U26" s="41">
        <v>200</v>
      </c>
    </row>
    <row r="27" spans="2:21" ht="15" thickBot="1" x14ac:dyDescent="0.35">
      <c r="I27" s="26" t="s">
        <v>83</v>
      </c>
      <c r="J27" s="46"/>
      <c r="K27" s="46">
        <v>1000</v>
      </c>
      <c r="L27" s="46">
        <v>1000</v>
      </c>
      <c r="M27" s="46">
        <v>1000</v>
      </c>
      <c r="N27" s="46">
        <v>1000</v>
      </c>
      <c r="O27" s="46">
        <v>1000</v>
      </c>
      <c r="P27" s="46">
        <v>1000</v>
      </c>
      <c r="Q27" s="46">
        <v>1000</v>
      </c>
      <c r="R27" s="46">
        <v>1000</v>
      </c>
      <c r="S27" s="46">
        <v>1000</v>
      </c>
      <c r="T27" s="46">
        <v>1000</v>
      </c>
      <c r="U27" s="46">
        <v>1000</v>
      </c>
    </row>
    <row r="28" spans="2:21" ht="15" thickBot="1" x14ac:dyDescent="0.35">
      <c r="I28" s="40" t="s">
        <v>77</v>
      </c>
      <c r="J28" s="53"/>
      <c r="K28" s="53">
        <f t="shared" ref="K28:U28" si="2">K29+K30+K31+K32</f>
        <v>31310</v>
      </c>
      <c r="L28" s="53">
        <f t="shared" si="2"/>
        <v>33936</v>
      </c>
      <c r="M28" s="53">
        <f t="shared" si="2"/>
        <v>37571.999999999993</v>
      </c>
      <c r="N28" s="53">
        <f t="shared" si="2"/>
        <v>45450</v>
      </c>
      <c r="O28" s="53">
        <f t="shared" si="2"/>
        <v>62620</v>
      </c>
      <c r="P28" s="53">
        <f t="shared" si="2"/>
        <v>75750</v>
      </c>
      <c r="Q28" s="53">
        <f t="shared" si="2"/>
        <v>109585</v>
      </c>
      <c r="R28" s="53">
        <f t="shared" si="2"/>
        <v>239521.5</v>
      </c>
      <c r="S28" s="53">
        <f t="shared" si="2"/>
        <v>454500</v>
      </c>
      <c r="T28" s="53">
        <f t="shared" si="2"/>
        <v>525224.75</v>
      </c>
      <c r="U28" s="54">
        <f t="shared" si="2"/>
        <v>440111.39999999997</v>
      </c>
    </row>
    <row r="29" spans="2:21" x14ac:dyDescent="0.3">
      <c r="I29" s="27" t="s">
        <v>78</v>
      </c>
      <c r="J29" s="42"/>
      <c r="K29" s="42">
        <f>'Dados de Prod'!I68</f>
        <v>31000</v>
      </c>
      <c r="L29" s="42">
        <f>'Dados de Prod'!J68</f>
        <v>33600</v>
      </c>
      <c r="M29" s="42">
        <f>'Dados de Prod'!K68</f>
        <v>37199.999999999993</v>
      </c>
      <c r="N29" s="42">
        <f>'Dados de Prod'!L68</f>
        <v>45000</v>
      </c>
      <c r="O29" s="42">
        <f>'Dados de Prod'!M68</f>
        <v>62000</v>
      </c>
      <c r="P29" s="42">
        <f>'Dados de Prod'!N68</f>
        <v>75000</v>
      </c>
      <c r="Q29" s="42">
        <f>'Dados de Prod'!O68</f>
        <v>108500</v>
      </c>
      <c r="R29" s="42">
        <f>'Dados de Prod'!P68</f>
        <v>237150</v>
      </c>
      <c r="S29" s="42">
        <f>'Dados de Prod'!Q68</f>
        <v>450000</v>
      </c>
      <c r="T29" s="42">
        <f>'Dados de Prod'!R68</f>
        <v>465000</v>
      </c>
      <c r="U29" s="42">
        <f>'Dados de Prod'!S68</f>
        <v>315000</v>
      </c>
    </row>
    <row r="30" spans="2:21" x14ac:dyDescent="0.3">
      <c r="I30" s="25" t="s">
        <v>86</v>
      </c>
      <c r="J30" s="41"/>
      <c r="K30" s="41">
        <f>K29*1%</f>
        <v>310</v>
      </c>
      <c r="L30" s="41">
        <f t="shared" ref="L30:U30" si="3">L29*1%</f>
        <v>336</v>
      </c>
      <c r="M30" s="41">
        <f>M29*1%</f>
        <v>371.99999999999994</v>
      </c>
      <c r="N30" s="41">
        <f t="shared" si="3"/>
        <v>450</v>
      </c>
      <c r="O30" s="41">
        <f t="shared" si="3"/>
        <v>620</v>
      </c>
      <c r="P30" s="41">
        <f t="shared" si="3"/>
        <v>750</v>
      </c>
      <c r="Q30" s="41">
        <f t="shared" si="3"/>
        <v>1085</v>
      </c>
      <c r="R30" s="41">
        <f t="shared" si="3"/>
        <v>2371.5</v>
      </c>
      <c r="S30" s="41">
        <f t="shared" si="3"/>
        <v>4500</v>
      </c>
      <c r="T30" s="41">
        <f t="shared" si="3"/>
        <v>4650</v>
      </c>
      <c r="U30" s="41">
        <f t="shared" si="3"/>
        <v>3150</v>
      </c>
    </row>
    <row r="31" spans="2:21" x14ac:dyDescent="0.3">
      <c r="I31" s="25" t="s">
        <v>79</v>
      </c>
      <c r="J31" s="41"/>
      <c r="K31" s="41">
        <f>K6*1%</f>
        <v>0</v>
      </c>
      <c r="L31" s="41">
        <f t="shared" ref="L31:U31" si="4">L6*1%</f>
        <v>0</v>
      </c>
      <c r="M31" s="41">
        <f t="shared" si="4"/>
        <v>0</v>
      </c>
      <c r="N31" s="41">
        <f t="shared" si="4"/>
        <v>0</v>
      </c>
      <c r="O31" s="41">
        <f t="shared" si="4"/>
        <v>0</v>
      </c>
      <c r="P31" s="41">
        <f t="shared" si="4"/>
        <v>0</v>
      </c>
      <c r="Q31" s="41">
        <f t="shared" si="4"/>
        <v>0</v>
      </c>
      <c r="R31" s="41">
        <f t="shared" si="4"/>
        <v>0</v>
      </c>
      <c r="S31" s="41">
        <f t="shared" si="4"/>
        <v>0</v>
      </c>
      <c r="T31" s="41">
        <f t="shared" si="4"/>
        <v>22229.899999999994</v>
      </c>
      <c r="U31" s="50">
        <f t="shared" si="4"/>
        <v>48784.55999999999</v>
      </c>
    </row>
    <row r="32" spans="2:21" ht="15" thickBot="1" x14ac:dyDescent="0.35">
      <c r="I32" s="26" t="s">
        <v>80</v>
      </c>
      <c r="J32" s="46"/>
      <c r="K32" s="46">
        <f t="shared" ref="K32:U32" si="5">K6*1.5%</f>
        <v>0</v>
      </c>
      <c r="L32" s="46">
        <f t="shared" si="5"/>
        <v>0</v>
      </c>
      <c r="M32" s="46">
        <f t="shared" si="5"/>
        <v>0</v>
      </c>
      <c r="N32" s="46">
        <f t="shared" si="5"/>
        <v>0</v>
      </c>
      <c r="O32" s="46">
        <f t="shared" si="5"/>
        <v>0</v>
      </c>
      <c r="P32" s="46">
        <f t="shared" si="5"/>
        <v>0</v>
      </c>
      <c r="Q32" s="46">
        <f t="shared" si="5"/>
        <v>0</v>
      </c>
      <c r="R32" s="46">
        <f t="shared" si="5"/>
        <v>0</v>
      </c>
      <c r="S32" s="46">
        <f t="shared" si="5"/>
        <v>0</v>
      </c>
      <c r="T32" s="46">
        <f t="shared" si="5"/>
        <v>33344.849999999991</v>
      </c>
      <c r="U32" s="47">
        <f t="shared" si="5"/>
        <v>73176.839999999982</v>
      </c>
    </row>
    <row r="33" spans="9:21" ht="15" thickBot="1" x14ac:dyDescent="0.35">
      <c r="I33" s="30" t="s">
        <v>81</v>
      </c>
      <c r="J33" s="55">
        <f>J3</f>
        <v>-3227000</v>
      </c>
      <c r="K33" s="55">
        <f>(K6+K4)-(K3+K14+K28)</f>
        <v>-91510</v>
      </c>
      <c r="L33" s="55">
        <f t="shared" ref="L33:U33" si="6">(L6+L4)-(L3+L14+L28)</f>
        <v>-94136</v>
      </c>
      <c r="M33" s="55">
        <f t="shared" si="6"/>
        <v>-97772</v>
      </c>
      <c r="N33" s="55">
        <f t="shared" si="6"/>
        <v>-105650</v>
      </c>
      <c r="O33" s="55">
        <f t="shared" si="6"/>
        <v>-122820</v>
      </c>
      <c r="P33" s="55">
        <f t="shared" si="6"/>
        <v>-135950</v>
      </c>
      <c r="Q33" s="55">
        <f t="shared" si="6"/>
        <v>-169785</v>
      </c>
      <c r="R33" s="55">
        <f t="shared" si="6"/>
        <v>-299721.5</v>
      </c>
      <c r="S33" s="55">
        <f t="shared" si="6"/>
        <v>-514700</v>
      </c>
      <c r="T33" s="55">
        <f t="shared" si="6"/>
        <v>1637565.2499999995</v>
      </c>
      <c r="U33" s="55">
        <f t="shared" si="6"/>
        <v>4378144.5999999987</v>
      </c>
    </row>
    <row r="34" spans="9:21" ht="15" thickBot="1" x14ac:dyDescent="0.35">
      <c r="I34" s="31" t="s">
        <v>82</v>
      </c>
      <c r="J34" s="56">
        <f>J33</f>
        <v>-3227000</v>
      </c>
      <c r="K34" s="56">
        <f>J34+K33</f>
        <v>-3318510</v>
      </c>
      <c r="L34" s="56">
        <f t="shared" ref="L34:U34" si="7">K34+L33</f>
        <v>-3412646</v>
      </c>
      <c r="M34" s="56">
        <f t="shared" si="7"/>
        <v>-3510418</v>
      </c>
      <c r="N34" s="56">
        <f t="shared" si="7"/>
        <v>-3616068</v>
      </c>
      <c r="O34" s="56">
        <f t="shared" si="7"/>
        <v>-3738888</v>
      </c>
      <c r="P34" s="56">
        <f t="shared" si="7"/>
        <v>-3874838</v>
      </c>
      <c r="Q34" s="56">
        <f t="shared" si="7"/>
        <v>-4044623</v>
      </c>
      <c r="R34" s="56">
        <f t="shared" si="7"/>
        <v>-4344344.5</v>
      </c>
      <c r="S34" s="56">
        <f t="shared" si="7"/>
        <v>-4859044.5</v>
      </c>
      <c r="T34" s="56">
        <f t="shared" si="7"/>
        <v>-3221479.2500000005</v>
      </c>
      <c r="U34" s="57">
        <f t="shared" si="7"/>
        <v>1156665.3499999982</v>
      </c>
    </row>
    <row r="36" spans="9:21" x14ac:dyDescent="0.3">
      <c r="I36" s="2"/>
    </row>
    <row r="39" spans="9:21" x14ac:dyDescent="0.3"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</row>
    <row r="40" spans="9:21" x14ac:dyDescent="0.3"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</row>
    <row r="41" spans="9:21" x14ac:dyDescent="0.3"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</row>
    <row r="42" spans="9:21" x14ac:dyDescent="0.3"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9:21" x14ac:dyDescent="0.3"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</sheetData>
  <mergeCells count="4">
    <mergeCell ref="I1:I2"/>
    <mergeCell ref="J1:J2"/>
    <mergeCell ref="B3:H12"/>
    <mergeCell ref="B15:H2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F430-13FC-4477-A132-00CE9EA8E253}">
  <dimension ref="E1:AA69"/>
  <sheetViews>
    <sheetView zoomScaleNormal="100" workbookViewId="0">
      <selection activeCell="H5" sqref="H5"/>
    </sheetView>
  </sheetViews>
  <sheetFormatPr defaultColWidth="8.88671875" defaultRowHeight="14.4" x14ac:dyDescent="0.3"/>
  <cols>
    <col min="1" max="5" width="8.88671875" style="58"/>
    <col min="6" max="6" width="12.109375" style="58" bestFit="1" customWidth="1"/>
    <col min="7" max="7" width="13.88671875" style="58" bestFit="1" customWidth="1"/>
    <col min="8" max="8" width="13.44140625" style="58" bestFit="1" customWidth="1"/>
    <col min="9" max="9" width="8.88671875" style="59"/>
    <col min="10" max="10" width="25.5546875" style="58" bestFit="1" customWidth="1"/>
    <col min="11" max="11" width="19.109375" style="59" bestFit="1" customWidth="1"/>
    <col min="12" max="12" width="20" style="59" bestFit="1" customWidth="1"/>
    <col min="13" max="13" width="18.6640625" style="59" bestFit="1" customWidth="1"/>
    <col min="14" max="18" width="15.44140625" style="59" customWidth="1"/>
    <col min="19" max="19" width="13.77734375" style="59" bestFit="1" customWidth="1"/>
    <col min="20" max="21" width="15.44140625" style="59" customWidth="1"/>
    <col min="22" max="22" width="8.88671875" style="58"/>
    <col min="23" max="23" width="12.5546875" style="58" bestFit="1" customWidth="1"/>
    <col min="24" max="24" width="9.88671875" style="58" bestFit="1" customWidth="1"/>
    <col min="25" max="16384" width="8.88671875" style="58"/>
  </cols>
  <sheetData>
    <row r="1" spans="5:27" ht="15" thickBot="1" x14ac:dyDescent="0.35"/>
    <row r="2" spans="5:27" ht="28.8" x14ac:dyDescent="0.3">
      <c r="J2" s="60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5:27" ht="45" customHeight="1" thickBot="1" x14ac:dyDescent="0.35">
      <c r="J3" s="62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4" spans="5:27" ht="21.75" customHeight="1" thickBot="1" x14ac:dyDescent="0.4">
      <c r="J4" s="64"/>
      <c r="K4" s="65" t="s">
        <v>121</v>
      </c>
      <c r="L4" s="65" t="s">
        <v>122</v>
      </c>
      <c r="M4" s="65" t="s">
        <v>123</v>
      </c>
      <c r="N4" s="65" t="s">
        <v>124</v>
      </c>
      <c r="O4" s="65" t="s">
        <v>125</v>
      </c>
      <c r="P4" s="65" t="s">
        <v>126</v>
      </c>
      <c r="Q4" s="65" t="s">
        <v>127</v>
      </c>
      <c r="R4" s="65" t="s">
        <v>128</v>
      </c>
      <c r="S4" s="65" t="s">
        <v>129</v>
      </c>
      <c r="T4" s="65" t="s">
        <v>130</v>
      </c>
      <c r="U4" s="65" t="s">
        <v>131</v>
      </c>
    </row>
    <row r="5" spans="5:27" ht="19.5" customHeight="1" thickBot="1" x14ac:dyDescent="0.35">
      <c r="J5" s="66"/>
      <c r="K5" s="111">
        <v>46023</v>
      </c>
      <c r="L5" s="111">
        <v>46054</v>
      </c>
      <c r="M5" s="111">
        <v>46082</v>
      </c>
      <c r="N5" s="111">
        <v>46113</v>
      </c>
      <c r="O5" s="111">
        <v>46143</v>
      </c>
      <c r="P5" s="111">
        <v>46174</v>
      </c>
      <c r="Q5" s="111">
        <v>46204</v>
      </c>
      <c r="R5" s="111">
        <v>46235</v>
      </c>
      <c r="S5" s="111">
        <v>46266</v>
      </c>
      <c r="T5" s="111">
        <v>46296</v>
      </c>
      <c r="U5" s="111">
        <v>46327</v>
      </c>
    </row>
    <row r="6" spans="5:27" ht="15" thickBot="1" x14ac:dyDescent="0.35">
      <c r="J6" s="98" t="s">
        <v>87</v>
      </c>
      <c r="K6" s="67">
        <f>Produção!$Q$5</f>
        <v>200</v>
      </c>
      <c r="L6" s="67">
        <f>Produção!$Q$5</f>
        <v>200</v>
      </c>
      <c r="M6" s="67">
        <f>Produção!$Q$5</f>
        <v>200</v>
      </c>
      <c r="N6" s="67">
        <f>Produção!$Q$5</f>
        <v>200</v>
      </c>
      <c r="O6" s="67">
        <f>Produção!$Q$5</f>
        <v>200</v>
      </c>
      <c r="P6" s="67">
        <f>Produção!$Q$5</f>
        <v>200</v>
      </c>
      <c r="Q6" s="67">
        <f>Produção!$Q$5</f>
        <v>200</v>
      </c>
      <c r="R6" s="67">
        <f>Produção!$Q$5</f>
        <v>200</v>
      </c>
      <c r="S6" s="67">
        <f>Produção!$Q$5</f>
        <v>200</v>
      </c>
      <c r="T6" s="67">
        <f>Produção!$Q$5</f>
        <v>200</v>
      </c>
      <c r="U6" s="67">
        <f>Produção!$Q$5</f>
        <v>200</v>
      </c>
      <c r="X6" s="68"/>
    </row>
    <row r="7" spans="5:27" x14ac:dyDescent="0.3">
      <c r="J7" s="9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X7" s="68"/>
    </row>
    <row r="8" spans="5:27" x14ac:dyDescent="0.3">
      <c r="J8" s="100" t="s">
        <v>33</v>
      </c>
      <c r="K8" s="70">
        <v>46023</v>
      </c>
      <c r="L8" s="70">
        <f>K9+1</f>
        <v>46054</v>
      </c>
      <c r="M8" s="70">
        <f>L9+1</f>
        <v>46082</v>
      </c>
      <c r="N8" s="70">
        <f>M9+1</f>
        <v>46113</v>
      </c>
      <c r="O8" s="70">
        <f t="shared" ref="O8:U8" si="0">N9+1</f>
        <v>46143</v>
      </c>
      <c r="P8" s="70">
        <f t="shared" si="0"/>
        <v>46174</v>
      </c>
      <c r="Q8" s="70">
        <f t="shared" si="0"/>
        <v>46204</v>
      </c>
      <c r="R8" s="70">
        <f t="shared" si="0"/>
        <v>46235</v>
      </c>
      <c r="S8" s="70">
        <f t="shared" si="0"/>
        <v>46266</v>
      </c>
      <c r="T8" s="70">
        <f t="shared" si="0"/>
        <v>46296</v>
      </c>
      <c r="U8" s="70">
        <f t="shared" si="0"/>
        <v>46327</v>
      </c>
      <c r="X8" s="68"/>
    </row>
    <row r="9" spans="5:27" x14ac:dyDescent="0.3">
      <c r="J9" s="100" t="s">
        <v>88</v>
      </c>
      <c r="K9" s="70">
        <f>K8+K13</f>
        <v>46053</v>
      </c>
      <c r="L9" s="70">
        <f t="shared" ref="L9:U9" si="1">L8+L13</f>
        <v>46081</v>
      </c>
      <c r="M9" s="70">
        <f t="shared" si="1"/>
        <v>46112</v>
      </c>
      <c r="N9" s="70">
        <f t="shared" si="1"/>
        <v>46142</v>
      </c>
      <c r="O9" s="70">
        <f t="shared" si="1"/>
        <v>46173</v>
      </c>
      <c r="P9" s="70">
        <f t="shared" si="1"/>
        <v>46203</v>
      </c>
      <c r="Q9" s="70">
        <f t="shared" si="1"/>
        <v>46234</v>
      </c>
      <c r="R9" s="70">
        <f t="shared" si="1"/>
        <v>46265</v>
      </c>
      <c r="S9" s="70">
        <f t="shared" si="1"/>
        <v>46295</v>
      </c>
      <c r="T9" s="70">
        <f t="shared" si="1"/>
        <v>46326</v>
      </c>
      <c r="U9" s="70">
        <f t="shared" si="1"/>
        <v>46356</v>
      </c>
      <c r="X9" s="68"/>
    </row>
    <row r="10" spans="5:27" x14ac:dyDescent="0.3">
      <c r="E10" s="254" t="s">
        <v>250</v>
      </c>
      <c r="F10" s="255"/>
      <c r="G10" s="255"/>
      <c r="H10" s="68"/>
      <c r="I10" s="253" t="s">
        <v>247</v>
      </c>
      <c r="J10" s="101" t="s">
        <v>89</v>
      </c>
      <c r="K10" s="71">
        <f>K11/30</f>
        <v>7</v>
      </c>
      <c r="L10" s="71">
        <f>L11/30</f>
        <v>7.9</v>
      </c>
      <c r="M10" s="71">
        <f>M11/30</f>
        <v>8.7100000000000009</v>
      </c>
      <c r="N10" s="71">
        <f>N11/30</f>
        <v>9.6100000000000012</v>
      </c>
      <c r="O10" s="71">
        <f>O11/30</f>
        <v>10.383333333333333</v>
      </c>
      <c r="P10" s="71"/>
      <c r="Q10" s="71"/>
      <c r="R10" s="71"/>
      <c r="S10" s="71"/>
      <c r="T10" s="71"/>
      <c r="U10" s="71"/>
      <c r="X10" s="2"/>
      <c r="Y10" s="2"/>
      <c r="Z10" s="59"/>
      <c r="AA10" s="59"/>
    </row>
    <row r="11" spans="5:27" x14ac:dyDescent="0.3">
      <c r="E11" s="255"/>
      <c r="F11" s="255"/>
      <c r="G11" s="255"/>
      <c r="H11" s="73"/>
      <c r="I11" s="253" t="s">
        <v>247</v>
      </c>
      <c r="J11" s="101" t="s">
        <v>90</v>
      </c>
      <c r="K11" s="102">
        <f>Produção!R5</f>
        <v>210</v>
      </c>
      <c r="L11" s="102">
        <f>K12</f>
        <v>237</v>
      </c>
      <c r="M11" s="102">
        <f t="shared" ref="M11:U11" si="2">L12</f>
        <v>261.3</v>
      </c>
      <c r="N11" s="102">
        <f t="shared" si="2"/>
        <v>288.3</v>
      </c>
      <c r="O11" s="102">
        <f t="shared" si="2"/>
        <v>311.5</v>
      </c>
      <c r="P11" s="102">
        <f t="shared" si="2"/>
        <v>332.5</v>
      </c>
      <c r="Q11" s="102">
        <f t="shared" si="2"/>
        <v>352.8</v>
      </c>
      <c r="R11" s="102">
        <f t="shared" si="2"/>
        <v>373.8</v>
      </c>
      <c r="S11" s="102">
        <f t="shared" si="2"/>
        <v>394.8</v>
      </c>
      <c r="T11" s="102">
        <f t="shared" si="2"/>
        <v>438.3</v>
      </c>
      <c r="U11" s="102">
        <f t="shared" si="2"/>
        <v>483.3</v>
      </c>
      <c r="X11" s="2"/>
      <c r="Y11" s="2"/>
      <c r="Z11" s="59"/>
      <c r="AA11" s="59"/>
    </row>
    <row r="12" spans="5:27" x14ac:dyDescent="0.3">
      <c r="F12" s="72"/>
      <c r="G12" s="72"/>
      <c r="I12" s="253" t="s">
        <v>247</v>
      </c>
      <c r="J12" s="101" t="s">
        <v>91</v>
      </c>
      <c r="K12" s="103">
        <f t="shared" ref="K12:Q12" si="3">K11+K16</f>
        <v>237</v>
      </c>
      <c r="L12" s="103">
        <f t="shared" si="3"/>
        <v>261.3</v>
      </c>
      <c r="M12" s="103">
        <f t="shared" si="3"/>
        <v>288.3</v>
      </c>
      <c r="N12" s="103">
        <f t="shared" si="3"/>
        <v>311.5</v>
      </c>
      <c r="O12" s="103">
        <f t="shared" si="3"/>
        <v>332.5</v>
      </c>
      <c r="P12" s="103">
        <f t="shared" si="3"/>
        <v>352.8</v>
      </c>
      <c r="Q12" s="103">
        <f t="shared" si="3"/>
        <v>373.8</v>
      </c>
      <c r="R12" s="103">
        <f t="shared" ref="R12:U12" si="4">R11+R16</f>
        <v>394.8</v>
      </c>
      <c r="S12" s="103">
        <f t="shared" si="4"/>
        <v>438.3</v>
      </c>
      <c r="T12" s="103">
        <f t="shared" si="4"/>
        <v>483.3</v>
      </c>
      <c r="U12" s="103">
        <f t="shared" si="4"/>
        <v>526.79999999999995</v>
      </c>
    </row>
    <row r="13" spans="5:27" x14ac:dyDescent="0.3">
      <c r="F13" s="72"/>
      <c r="G13" s="72"/>
      <c r="I13" s="59" t="s">
        <v>166</v>
      </c>
      <c r="J13" s="101" t="s">
        <v>92</v>
      </c>
      <c r="K13" s="74">
        <v>30</v>
      </c>
      <c r="L13" s="74">
        <v>27</v>
      </c>
      <c r="M13" s="74">
        <v>30</v>
      </c>
      <c r="N13" s="74">
        <v>29</v>
      </c>
      <c r="O13" s="74">
        <v>30</v>
      </c>
      <c r="P13" s="74">
        <v>29</v>
      </c>
      <c r="Q13" s="74">
        <v>30</v>
      </c>
      <c r="R13" s="74">
        <v>30</v>
      </c>
      <c r="S13" s="74">
        <v>29</v>
      </c>
      <c r="T13" s="74">
        <v>30</v>
      </c>
      <c r="U13" s="74">
        <v>29</v>
      </c>
    </row>
    <row r="14" spans="5:27" x14ac:dyDescent="0.3">
      <c r="F14" s="72"/>
      <c r="G14" s="72"/>
      <c r="I14" s="253" t="s">
        <v>247</v>
      </c>
      <c r="J14" s="114" t="s">
        <v>93</v>
      </c>
      <c r="K14" s="116">
        <f>Produção!AA7+((Fluxo!K14/30)/(Produção!$Q$5+Produção!$Q$6+Produção!$Q$7))</f>
        <v>3.0066666666666668</v>
      </c>
      <c r="L14" s="116">
        <f>Produção!AB7+((Fluxo!L14/30)/(Produção!$Q$5+Produção!$Q$6+Produção!$Q$7))</f>
        <v>3.206666666666667</v>
      </c>
      <c r="M14" s="116">
        <f>Produção!AC7+((Fluxo!M14/30)/(Produção!$Q$5+Produção!$Q$6+Produção!$Q$7))</f>
        <v>3.206666666666667</v>
      </c>
      <c r="N14" s="116">
        <f>Produção!AD7+((Fluxo!N14/30)/(Produção!$Q$5+Produção!$Q$6+Produção!$Q$7))</f>
        <v>3.5066666666666668</v>
      </c>
      <c r="O14" s="116">
        <f>Produção!AE7+((Fluxo!O14/30)/(Produção!$Q$5+Produção!$Q$6+Produção!$Q$7))</f>
        <v>4.0066666666666668</v>
      </c>
      <c r="P14" s="116">
        <f>Produção!AF7+((Fluxo!P14/30)/(Produção!$Q$5+Produção!$Q$6+Produção!$Q$7))</f>
        <v>4.5066666666666668</v>
      </c>
      <c r="Q14" s="116">
        <f>Produção!AG7+((Fluxo!Q14/30)/(Produção!$Q$5+Produção!$Q$6+Produção!$Q$7))</f>
        <v>5.5066666666666668</v>
      </c>
      <c r="R14" s="116">
        <f>Produção!AH7+((Fluxo!R14/30)/(Produção!$Q$5+Produção!$Q$6+Produção!$Q$7))</f>
        <v>6.5066666666666668</v>
      </c>
      <c r="S14" s="116">
        <f>Produção!AI7+((Fluxo!R14/30)/(Produção!$Q$5+Produção!$Q$6+Produção!$Q$7))</f>
        <v>17.006666666666668</v>
      </c>
      <c r="T14" s="116">
        <f>Produção!AJ7+((Fluxo!S14/30)/(Produção!$Q$5+Produção!$Q$6+Produção!$Q$7))</f>
        <v>17.006666666666668</v>
      </c>
      <c r="U14" s="116">
        <f>Produção!AK7+((Fluxo!T14/30)/(Produção!$Q$5+Produção!$Q$6+Produção!$Q$7))</f>
        <v>17.006666666666668</v>
      </c>
    </row>
    <row r="15" spans="5:27" x14ac:dyDescent="0.3">
      <c r="F15" s="80"/>
      <c r="G15" s="72"/>
      <c r="I15" s="253" t="s">
        <v>247</v>
      </c>
      <c r="J15" s="114" t="s">
        <v>94</v>
      </c>
      <c r="K15" s="115">
        <f>Produção!O13</f>
        <v>0.9</v>
      </c>
      <c r="L15" s="115">
        <f>Produção!P13</f>
        <v>0.9</v>
      </c>
      <c r="M15" s="115">
        <f>Produção!Q13</f>
        <v>0.9</v>
      </c>
      <c r="N15" s="115">
        <f>Produção!R13</f>
        <v>0.8</v>
      </c>
      <c r="O15" s="115">
        <f>Produção!S13</f>
        <v>0.7</v>
      </c>
      <c r="P15" s="115">
        <f>Produção!T13</f>
        <v>0.7</v>
      </c>
      <c r="Q15" s="115">
        <f>Produção!U13</f>
        <v>0.7</v>
      </c>
      <c r="R15" s="115">
        <f>Produção!V13</f>
        <v>0.7</v>
      </c>
      <c r="S15" s="115">
        <v>1.5</v>
      </c>
      <c r="T15" s="115">
        <v>1.5</v>
      </c>
      <c r="U15" s="115">
        <v>1.5</v>
      </c>
    </row>
    <row r="16" spans="5:27" x14ac:dyDescent="0.3">
      <c r="G16" s="75"/>
      <c r="I16" s="59" t="s">
        <v>166</v>
      </c>
      <c r="J16" s="101" t="s">
        <v>95</v>
      </c>
      <c r="K16" s="74">
        <f t="shared" ref="K16:Q16" si="5">K15*K13</f>
        <v>27</v>
      </c>
      <c r="L16" s="74">
        <f t="shared" si="5"/>
        <v>24.3</v>
      </c>
      <c r="M16" s="74">
        <f t="shared" si="5"/>
        <v>27</v>
      </c>
      <c r="N16" s="74">
        <f t="shared" si="5"/>
        <v>23.200000000000003</v>
      </c>
      <c r="O16" s="74">
        <f t="shared" si="5"/>
        <v>21</v>
      </c>
      <c r="P16" s="74">
        <f t="shared" si="5"/>
        <v>20.299999999999997</v>
      </c>
      <c r="Q16" s="74">
        <f t="shared" si="5"/>
        <v>21</v>
      </c>
      <c r="R16" s="74">
        <f t="shared" ref="R16:U16" si="6">R15*R13</f>
        <v>21</v>
      </c>
      <c r="S16" s="74">
        <f t="shared" si="6"/>
        <v>43.5</v>
      </c>
      <c r="T16" s="74">
        <f t="shared" si="6"/>
        <v>45</v>
      </c>
      <c r="U16" s="74">
        <f t="shared" si="6"/>
        <v>43.5</v>
      </c>
    </row>
    <row r="17" spans="6:23" x14ac:dyDescent="0.3">
      <c r="G17" s="76"/>
      <c r="H17" s="76"/>
      <c r="I17" s="59" t="s">
        <v>166</v>
      </c>
      <c r="J17" s="101" t="s">
        <v>96</v>
      </c>
      <c r="K17" s="79">
        <f t="shared" ref="K17:Q17" si="7">(K19+(K14*K13))/K22</f>
        <v>374.70886075949363</v>
      </c>
      <c r="L17" s="79">
        <f t="shared" si="7"/>
        <v>349.80252583237649</v>
      </c>
      <c r="M17" s="79">
        <f t="shared" si="7"/>
        <v>327.05306971904264</v>
      </c>
      <c r="N17" s="79">
        <f t="shared" si="7"/>
        <v>312.48860353130016</v>
      </c>
      <c r="O17" s="79">
        <f t="shared" si="7"/>
        <v>303.59759398496237</v>
      </c>
      <c r="P17" s="79">
        <f t="shared" si="7"/>
        <v>297.24206349206344</v>
      </c>
      <c r="Q17" s="79">
        <f t="shared" si="7"/>
        <v>293.80149812734072</v>
      </c>
      <c r="R17" s="79">
        <f t="shared" ref="R17:U17" si="8">(R19+(R14*R13))/R22</f>
        <v>293.00658561296854</v>
      </c>
      <c r="S17" s="79">
        <f t="shared" si="8"/>
        <v>297.68377823408622</v>
      </c>
      <c r="T17" s="79">
        <f t="shared" si="8"/>
        <v>301.63625077591558</v>
      </c>
      <c r="U17" s="79">
        <f t="shared" si="8"/>
        <v>277.10464554428108</v>
      </c>
    </row>
    <row r="18" spans="6:23" x14ac:dyDescent="0.3">
      <c r="G18" s="77"/>
      <c r="I18" s="59" t="s">
        <v>166</v>
      </c>
      <c r="J18" s="101" t="s">
        <v>97</v>
      </c>
      <c r="K18" s="78">
        <f t="shared" ref="K18:Q18" si="9">(K14*K6)*K13</f>
        <v>18040</v>
      </c>
      <c r="L18" s="78">
        <f t="shared" si="9"/>
        <v>17316</v>
      </c>
      <c r="M18" s="78">
        <f t="shared" si="9"/>
        <v>19240</v>
      </c>
      <c r="N18" s="78">
        <f t="shared" si="9"/>
        <v>20338.666666666668</v>
      </c>
      <c r="O18" s="78">
        <f t="shared" si="9"/>
        <v>24040</v>
      </c>
      <c r="P18" s="78">
        <f t="shared" si="9"/>
        <v>26138.666666666668</v>
      </c>
      <c r="Q18" s="78">
        <f t="shared" si="9"/>
        <v>33040</v>
      </c>
      <c r="R18" s="78">
        <f t="shared" ref="R18:U18" si="10">(R14*R6)*R13</f>
        <v>39040</v>
      </c>
      <c r="S18" s="78">
        <f t="shared" si="10"/>
        <v>98638.666666666672</v>
      </c>
      <c r="T18" s="78">
        <f t="shared" si="10"/>
        <v>102040</v>
      </c>
      <c r="U18" s="78">
        <f t="shared" si="10"/>
        <v>98638.666666666672</v>
      </c>
    </row>
    <row r="19" spans="6:23" x14ac:dyDescent="0.3">
      <c r="F19" s="72"/>
      <c r="I19" s="59" t="s">
        <v>166</v>
      </c>
      <c r="J19" s="101" t="s">
        <v>98</v>
      </c>
      <c r="K19" s="78">
        <f>Produção!T5</f>
        <v>2870</v>
      </c>
      <c r="L19" s="78">
        <f>K28/L6</f>
        <v>2960.2</v>
      </c>
      <c r="M19" s="78">
        <f t="shared" ref="M19:U19" si="11">L28/M6</f>
        <v>3046.78</v>
      </c>
      <c r="N19" s="78">
        <f t="shared" si="11"/>
        <v>3142.98</v>
      </c>
      <c r="O19" s="78">
        <f t="shared" si="11"/>
        <v>3244.6733333333332</v>
      </c>
      <c r="P19" s="78">
        <f t="shared" si="11"/>
        <v>3364.873333333333</v>
      </c>
      <c r="Q19" s="78">
        <f t="shared" ref="Q19" si="12">P28/Q6</f>
        <v>3495.5666666666662</v>
      </c>
      <c r="R19" s="78">
        <f t="shared" ref="R19" si="13">Q28/R6</f>
        <v>3660.7666666666664</v>
      </c>
      <c r="S19" s="78">
        <f t="shared" ref="S19" si="14">R28/S6</f>
        <v>3855.9666666666662</v>
      </c>
      <c r="T19" s="78">
        <f t="shared" ref="T19" si="15">S28/T6</f>
        <v>4349.16</v>
      </c>
      <c r="U19" s="78">
        <f t="shared" ref="U19" si="16">T28/U6</f>
        <v>4859.3599999999997</v>
      </c>
    </row>
    <row r="20" spans="6:23" x14ac:dyDescent="0.3">
      <c r="G20" s="68"/>
      <c r="H20" s="80"/>
      <c r="I20" s="59" t="s">
        <v>166</v>
      </c>
      <c r="J20" s="101" t="s">
        <v>99</v>
      </c>
      <c r="K20" s="81">
        <v>0.5</v>
      </c>
      <c r="L20" s="81">
        <v>0.5</v>
      </c>
      <c r="M20" s="81">
        <v>0.5</v>
      </c>
      <c r="N20" s="81">
        <v>0.5</v>
      </c>
      <c r="O20" s="81">
        <v>0.5</v>
      </c>
      <c r="P20" s="81">
        <v>0.5</v>
      </c>
      <c r="Q20" s="81">
        <v>0.5</v>
      </c>
      <c r="R20" s="81">
        <v>0.5</v>
      </c>
      <c r="S20" s="81">
        <v>0.5</v>
      </c>
      <c r="T20" s="81">
        <v>0.5</v>
      </c>
      <c r="U20" s="81">
        <v>0.55000000000000004</v>
      </c>
    </row>
    <row r="21" spans="6:23" x14ac:dyDescent="0.3">
      <c r="F21" s="72"/>
      <c r="H21" s="80"/>
      <c r="I21" s="59" t="s">
        <v>166</v>
      </c>
      <c r="J21" s="101" t="s">
        <v>100</v>
      </c>
      <c r="K21" s="71">
        <f t="shared" ref="K21:Q21" si="17">(K16*K20)/15</f>
        <v>0.9</v>
      </c>
      <c r="L21" s="71">
        <f t="shared" si="17"/>
        <v>0.81</v>
      </c>
      <c r="M21" s="71">
        <f t="shared" si="17"/>
        <v>0.9</v>
      </c>
      <c r="N21" s="71">
        <f>(N16*N20)/15</f>
        <v>0.77333333333333343</v>
      </c>
      <c r="O21" s="71">
        <f t="shared" si="17"/>
        <v>0.7</v>
      </c>
      <c r="P21" s="71">
        <f t="shared" si="17"/>
        <v>0.67666666666666653</v>
      </c>
      <c r="Q21" s="71">
        <f t="shared" si="17"/>
        <v>0.7</v>
      </c>
      <c r="R21" s="71">
        <f t="shared" ref="R21:U21" si="18">(R16*R20)/15</f>
        <v>0.7</v>
      </c>
      <c r="S21" s="71">
        <f t="shared" si="18"/>
        <v>1.45</v>
      </c>
      <c r="T21" s="71">
        <f t="shared" si="18"/>
        <v>1.5</v>
      </c>
      <c r="U21" s="71">
        <f t="shared" si="18"/>
        <v>1.595</v>
      </c>
    </row>
    <row r="22" spans="6:23" x14ac:dyDescent="0.3">
      <c r="F22" s="72"/>
      <c r="G22" s="72"/>
      <c r="H22" s="80"/>
      <c r="I22" s="59" t="s">
        <v>166</v>
      </c>
      <c r="J22" s="101" t="s">
        <v>101</v>
      </c>
      <c r="K22" s="71">
        <f t="shared" ref="K22:Q22" si="19">(K12*K20)/15</f>
        <v>7.9</v>
      </c>
      <c r="L22" s="71">
        <f t="shared" si="19"/>
        <v>8.7100000000000009</v>
      </c>
      <c r="M22" s="71">
        <f t="shared" si="19"/>
        <v>9.6100000000000012</v>
      </c>
      <c r="N22" s="71">
        <f>(N12*N20)/15</f>
        <v>10.383333333333333</v>
      </c>
      <c r="O22" s="71">
        <f t="shared" si="19"/>
        <v>11.083333333333334</v>
      </c>
      <c r="P22" s="71">
        <f t="shared" si="19"/>
        <v>11.76</v>
      </c>
      <c r="Q22" s="71">
        <f t="shared" si="19"/>
        <v>12.46</v>
      </c>
      <c r="R22" s="71">
        <f t="shared" ref="R22:U22" si="20">(R12*R20)/15</f>
        <v>13.16</v>
      </c>
      <c r="S22" s="71">
        <f t="shared" si="20"/>
        <v>14.610000000000001</v>
      </c>
      <c r="T22" s="71">
        <f t="shared" si="20"/>
        <v>16.11</v>
      </c>
      <c r="U22" s="71">
        <f t="shared" si="20"/>
        <v>19.315999999999999</v>
      </c>
    </row>
    <row r="23" spans="6:23" x14ac:dyDescent="0.3">
      <c r="F23" s="72"/>
      <c r="G23" s="72"/>
      <c r="H23" s="80"/>
      <c r="I23" s="59" t="s">
        <v>166</v>
      </c>
      <c r="J23" s="101" t="s">
        <v>102</v>
      </c>
      <c r="K23" s="83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  <c r="R23" s="83">
        <v>0</v>
      </c>
      <c r="S23" s="83">
        <v>0</v>
      </c>
      <c r="T23" s="83">
        <v>0</v>
      </c>
      <c r="U23" s="83">
        <v>0</v>
      </c>
    </row>
    <row r="24" spans="6:23" x14ac:dyDescent="0.3">
      <c r="F24" s="72"/>
      <c r="G24" s="72"/>
      <c r="H24" s="80"/>
      <c r="I24" s="59" t="s">
        <v>166</v>
      </c>
      <c r="J24" s="101" t="s">
        <v>103</v>
      </c>
      <c r="K24" s="104">
        <f t="shared" ref="K24:U24" si="21">(K6-(K6*K23))*K22</f>
        <v>1580</v>
      </c>
      <c r="L24" s="104">
        <f t="shared" si="21"/>
        <v>1742.0000000000002</v>
      </c>
      <c r="M24" s="104">
        <f t="shared" si="21"/>
        <v>1922.0000000000002</v>
      </c>
      <c r="N24" s="104">
        <f t="shared" si="21"/>
        <v>2076.6666666666665</v>
      </c>
      <c r="O24" s="104">
        <f t="shared" si="21"/>
        <v>2216.666666666667</v>
      </c>
      <c r="P24" s="104">
        <f t="shared" si="21"/>
        <v>2352</v>
      </c>
      <c r="Q24" s="104">
        <f t="shared" si="21"/>
        <v>2492</v>
      </c>
      <c r="R24" s="104">
        <f t="shared" si="21"/>
        <v>2632</v>
      </c>
      <c r="S24" s="104">
        <f t="shared" si="21"/>
        <v>2922.0000000000005</v>
      </c>
      <c r="T24" s="104">
        <f t="shared" si="21"/>
        <v>3222</v>
      </c>
      <c r="U24" s="104">
        <f t="shared" si="21"/>
        <v>3863.2</v>
      </c>
    </row>
    <row r="25" spans="6:23" x14ac:dyDescent="0.3">
      <c r="G25" s="72"/>
      <c r="H25" s="80"/>
      <c r="I25" s="59" t="s">
        <v>166</v>
      </c>
      <c r="J25" s="101" t="s">
        <v>104</v>
      </c>
      <c r="K25" s="105">
        <f t="shared" ref="K25:Q25" si="22">K6*K19</f>
        <v>574000</v>
      </c>
      <c r="L25" s="105">
        <f t="shared" si="22"/>
        <v>592040</v>
      </c>
      <c r="M25" s="105">
        <f t="shared" si="22"/>
        <v>609356</v>
      </c>
      <c r="N25" s="105">
        <f t="shared" si="22"/>
        <v>628596</v>
      </c>
      <c r="O25" s="105">
        <f t="shared" si="22"/>
        <v>648934.66666666663</v>
      </c>
      <c r="P25" s="105">
        <f t="shared" si="22"/>
        <v>672974.66666666663</v>
      </c>
      <c r="Q25" s="105">
        <f t="shared" si="22"/>
        <v>699113.33333333326</v>
      </c>
      <c r="R25" s="105">
        <f t="shared" ref="R25:U25" si="23">R6*R19</f>
        <v>732153.33333333326</v>
      </c>
      <c r="S25" s="105">
        <f t="shared" si="23"/>
        <v>771193.33333333326</v>
      </c>
      <c r="T25" s="105">
        <f t="shared" si="23"/>
        <v>869832</v>
      </c>
      <c r="U25" s="105">
        <f t="shared" si="23"/>
        <v>971871.99999999988</v>
      </c>
    </row>
    <row r="26" spans="6:23" x14ac:dyDescent="0.3">
      <c r="F26" s="84"/>
      <c r="I26" s="59" t="s">
        <v>166</v>
      </c>
      <c r="J26" s="101" t="s">
        <v>105</v>
      </c>
      <c r="K26" s="105">
        <f t="shared" ref="K26:Q26" si="24">K6*K13*K14</f>
        <v>18040</v>
      </c>
      <c r="L26" s="105">
        <f t="shared" si="24"/>
        <v>17316</v>
      </c>
      <c r="M26" s="105">
        <f t="shared" si="24"/>
        <v>19240.000000000004</v>
      </c>
      <c r="N26" s="105">
        <f t="shared" si="24"/>
        <v>20338.666666666668</v>
      </c>
      <c r="O26" s="105">
        <f t="shared" si="24"/>
        <v>24040</v>
      </c>
      <c r="P26" s="105">
        <f t="shared" si="24"/>
        <v>26138.666666666668</v>
      </c>
      <c r="Q26" s="105">
        <f t="shared" si="24"/>
        <v>33040</v>
      </c>
      <c r="R26" s="105">
        <f t="shared" ref="R26:U26" si="25">R6*R13*R14</f>
        <v>39040</v>
      </c>
      <c r="S26" s="105">
        <f t="shared" si="25"/>
        <v>98638.666666666672</v>
      </c>
      <c r="T26" s="105">
        <f t="shared" si="25"/>
        <v>102040</v>
      </c>
      <c r="U26" s="105">
        <f t="shared" si="25"/>
        <v>98638.666666666672</v>
      </c>
    </row>
    <row r="27" spans="6:23" x14ac:dyDescent="0.3">
      <c r="F27" s="72"/>
      <c r="I27" s="59" t="s">
        <v>166</v>
      </c>
      <c r="J27" s="101" t="s">
        <v>106</v>
      </c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</row>
    <row r="28" spans="6:23" x14ac:dyDescent="0.3">
      <c r="F28" s="72"/>
      <c r="G28" s="72"/>
      <c r="H28" s="80"/>
      <c r="I28" s="59" t="s">
        <v>166</v>
      </c>
      <c r="J28" s="101" t="s">
        <v>107</v>
      </c>
      <c r="K28" s="105">
        <f t="shared" ref="K28:Q28" si="26">K25+K26+K27</f>
        <v>592040</v>
      </c>
      <c r="L28" s="105">
        <f t="shared" si="26"/>
        <v>609356</v>
      </c>
      <c r="M28" s="105">
        <f t="shared" si="26"/>
        <v>628596</v>
      </c>
      <c r="N28" s="105">
        <f t="shared" si="26"/>
        <v>648934.66666666663</v>
      </c>
      <c r="O28" s="105">
        <f t="shared" si="26"/>
        <v>672974.66666666663</v>
      </c>
      <c r="P28" s="105">
        <f t="shared" si="26"/>
        <v>699113.33333333326</v>
      </c>
      <c r="Q28" s="105">
        <f t="shared" si="26"/>
        <v>732153.33333333326</v>
      </c>
      <c r="R28" s="105">
        <f t="shared" ref="R28:U28" si="27">R25+R26+R27</f>
        <v>771193.33333333326</v>
      </c>
      <c r="S28" s="105">
        <f t="shared" si="27"/>
        <v>869831.99999999988</v>
      </c>
      <c r="T28" s="105">
        <f t="shared" si="27"/>
        <v>971872</v>
      </c>
      <c r="U28" s="105">
        <f t="shared" si="27"/>
        <v>1070510.6666666665</v>
      </c>
    </row>
    <row r="29" spans="6:23" ht="16.2" thickBot="1" x14ac:dyDescent="0.35">
      <c r="F29" s="72"/>
      <c r="G29" s="72"/>
      <c r="H29" s="80"/>
      <c r="I29" s="253" t="s">
        <v>247</v>
      </c>
      <c r="J29" s="112" t="s">
        <v>108</v>
      </c>
      <c r="K29" s="113">
        <f>(K28/K24)</f>
        <v>374.70886075949369</v>
      </c>
      <c r="L29" s="113">
        <f t="shared" ref="L29:Q29" si="28">L28/L24</f>
        <v>349.80252583237655</v>
      </c>
      <c r="M29" s="113">
        <f t="shared" si="28"/>
        <v>327.05306971904264</v>
      </c>
      <c r="N29" s="113">
        <f t="shared" si="28"/>
        <v>312.48860353130016</v>
      </c>
      <c r="O29" s="113">
        <f t="shared" si="28"/>
        <v>303.59759398496237</v>
      </c>
      <c r="P29" s="113">
        <f t="shared" si="28"/>
        <v>297.24206349206344</v>
      </c>
      <c r="Q29" s="113">
        <f t="shared" si="28"/>
        <v>293.80149812734078</v>
      </c>
      <c r="R29" s="113">
        <f t="shared" ref="R29:U29" si="29">R28/R24</f>
        <v>293.00658561296854</v>
      </c>
      <c r="S29" s="113">
        <f t="shared" si="29"/>
        <v>297.68377823408616</v>
      </c>
      <c r="T29" s="113">
        <f t="shared" si="29"/>
        <v>301.63625077591558</v>
      </c>
      <c r="U29" s="113">
        <f t="shared" si="29"/>
        <v>277.10464554428103</v>
      </c>
    </row>
    <row r="30" spans="6:23" x14ac:dyDescent="0.3">
      <c r="F30" s="72"/>
      <c r="G30" s="72"/>
      <c r="H30" s="80"/>
      <c r="I30" s="59" t="s">
        <v>166</v>
      </c>
      <c r="J30" s="106" t="s">
        <v>1</v>
      </c>
      <c r="K30" s="107">
        <f>K25/K28</f>
        <v>0.96952908587257614</v>
      </c>
      <c r="L30" s="107">
        <f t="shared" ref="L30:Q30" si="30">L25/L28</f>
        <v>0.97158311397606656</v>
      </c>
      <c r="M30" s="107">
        <f t="shared" si="30"/>
        <v>0.96939210558132727</v>
      </c>
      <c r="N30" s="107">
        <f t="shared" si="30"/>
        <v>0.9686583754707716</v>
      </c>
      <c r="O30" s="107">
        <f t="shared" si="30"/>
        <v>0.96427800154934018</v>
      </c>
      <c r="P30" s="107">
        <f t="shared" si="30"/>
        <v>0.96261168909189743</v>
      </c>
      <c r="Q30" s="107">
        <f t="shared" si="30"/>
        <v>0.95487284084390334</v>
      </c>
      <c r="R30" s="107">
        <f t="shared" ref="R30:U30" si="31">R25/R28</f>
        <v>0.94937715574996329</v>
      </c>
      <c r="S30" s="107">
        <f t="shared" si="31"/>
        <v>0.88660032435382163</v>
      </c>
      <c r="T30" s="107">
        <f t="shared" si="31"/>
        <v>0.8950067498600639</v>
      </c>
      <c r="U30" s="107">
        <f t="shared" si="31"/>
        <v>0.90785830563108205</v>
      </c>
    </row>
    <row r="31" spans="6:23" x14ac:dyDescent="0.3">
      <c r="G31" s="72"/>
      <c r="H31" s="76"/>
      <c r="I31" s="59" t="s">
        <v>166</v>
      </c>
      <c r="J31" s="101" t="s">
        <v>109</v>
      </c>
      <c r="K31" s="86">
        <f>K26/K28</f>
        <v>3.0470914127423823E-2</v>
      </c>
      <c r="L31" s="86">
        <f t="shared" ref="L31:Q31" si="32">L26/L28</f>
        <v>2.8416886023933465E-2</v>
      </c>
      <c r="M31" s="86">
        <f t="shared" si="32"/>
        <v>3.0607894418672732E-2</v>
      </c>
      <c r="N31" s="86">
        <f t="shared" si="32"/>
        <v>3.1341624529228423E-2</v>
      </c>
      <c r="O31" s="86">
        <f t="shared" si="32"/>
        <v>3.5721998450659861E-2</v>
      </c>
      <c r="P31" s="86">
        <f t="shared" si="32"/>
        <v>3.738831090810265E-2</v>
      </c>
      <c r="Q31" s="86">
        <f t="shared" si="32"/>
        <v>4.5127159156096636E-2</v>
      </c>
      <c r="R31" s="86">
        <f t="shared" ref="R31:U31" si="33">R26/R28</f>
        <v>5.0622844250036741E-2</v>
      </c>
      <c r="S31" s="86">
        <f t="shared" si="33"/>
        <v>0.11339967564617844</v>
      </c>
      <c r="T31" s="86">
        <f t="shared" si="33"/>
        <v>0.10499325013993613</v>
      </c>
      <c r="U31" s="86">
        <f t="shared" si="33"/>
        <v>9.2141694368918031E-2</v>
      </c>
      <c r="W31" s="68"/>
    </row>
    <row r="32" spans="6:23" x14ac:dyDescent="0.3">
      <c r="F32" s="77"/>
      <c r="G32" s="80"/>
      <c r="H32" s="80"/>
      <c r="I32" s="59" t="s">
        <v>166</v>
      </c>
      <c r="J32" s="101" t="s">
        <v>110</v>
      </c>
      <c r="K32" s="86">
        <f>K27/K28</f>
        <v>0</v>
      </c>
      <c r="L32" s="86">
        <f t="shared" ref="L32:Q32" si="34">L27/L28</f>
        <v>0</v>
      </c>
      <c r="M32" s="86">
        <f t="shared" si="34"/>
        <v>0</v>
      </c>
      <c r="N32" s="86">
        <f t="shared" si="34"/>
        <v>0</v>
      </c>
      <c r="O32" s="86">
        <f t="shared" si="34"/>
        <v>0</v>
      </c>
      <c r="P32" s="86">
        <f t="shared" si="34"/>
        <v>0</v>
      </c>
      <c r="Q32" s="86">
        <f t="shared" si="34"/>
        <v>0</v>
      </c>
      <c r="R32" s="86">
        <f t="shared" ref="R32:U32" si="35">R27/R28</f>
        <v>0</v>
      </c>
      <c r="S32" s="86">
        <f t="shared" si="35"/>
        <v>0</v>
      </c>
      <c r="T32" s="86">
        <f t="shared" si="35"/>
        <v>0</v>
      </c>
      <c r="U32" s="86">
        <f t="shared" si="35"/>
        <v>0</v>
      </c>
      <c r="W32" s="68"/>
    </row>
    <row r="33" spans="6:21" x14ac:dyDescent="0.3">
      <c r="H33" s="80"/>
      <c r="I33" s="59" t="s">
        <v>166</v>
      </c>
      <c r="J33" s="101" t="s">
        <v>111</v>
      </c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>
        <v>350</v>
      </c>
    </row>
    <row r="34" spans="6:21" x14ac:dyDescent="0.3">
      <c r="F34" s="59"/>
      <c r="G34" s="72"/>
      <c r="H34" s="72"/>
      <c r="I34" s="59" t="s">
        <v>166</v>
      </c>
      <c r="J34" s="101" t="s">
        <v>112</v>
      </c>
      <c r="K34" s="86"/>
      <c r="L34" s="87"/>
      <c r="M34" s="87"/>
      <c r="N34" s="87"/>
      <c r="O34" s="87"/>
      <c r="P34" s="87"/>
      <c r="Q34" s="87"/>
      <c r="R34" s="87"/>
      <c r="S34" s="87"/>
      <c r="T34" s="87"/>
      <c r="U34" s="87">
        <v>0</v>
      </c>
    </row>
    <row r="35" spans="6:21" x14ac:dyDescent="0.3">
      <c r="F35" s="59"/>
      <c r="G35" s="72"/>
      <c r="H35" s="72"/>
      <c r="I35" s="59" t="s">
        <v>166</v>
      </c>
      <c r="J35" s="101" t="s">
        <v>113</v>
      </c>
      <c r="K35" s="85">
        <f t="shared" ref="K35:Q35" si="36">K33-(K33*K34)</f>
        <v>0</v>
      </c>
      <c r="L35" s="85">
        <f t="shared" si="36"/>
        <v>0</v>
      </c>
      <c r="M35" s="85">
        <f t="shared" si="36"/>
        <v>0</v>
      </c>
      <c r="N35" s="85">
        <f t="shared" si="36"/>
        <v>0</v>
      </c>
      <c r="O35" s="85">
        <f t="shared" si="36"/>
        <v>0</v>
      </c>
      <c r="P35" s="85">
        <f t="shared" si="36"/>
        <v>0</v>
      </c>
      <c r="Q35" s="85">
        <f t="shared" si="36"/>
        <v>0</v>
      </c>
      <c r="R35" s="85">
        <f t="shared" ref="R35:U35" si="37">R33-(R33*R34)</f>
        <v>0</v>
      </c>
      <c r="S35" s="85">
        <f t="shared" si="37"/>
        <v>0</v>
      </c>
      <c r="T35" s="85">
        <f t="shared" si="37"/>
        <v>0</v>
      </c>
      <c r="U35" s="85">
        <f t="shared" si="37"/>
        <v>350</v>
      </c>
    </row>
    <row r="36" spans="6:21" x14ac:dyDescent="0.3">
      <c r="F36" s="59"/>
      <c r="G36" s="72"/>
      <c r="H36" s="72"/>
      <c r="I36" s="59" t="s">
        <v>166</v>
      </c>
      <c r="J36" s="101" t="s">
        <v>114</v>
      </c>
      <c r="K36" s="85">
        <f>K35-K29</f>
        <v>-374.70886075949369</v>
      </c>
      <c r="L36" s="85">
        <f t="shared" ref="L36:Q36" si="38">L35-L29</f>
        <v>-349.80252583237655</v>
      </c>
      <c r="M36" s="85">
        <f t="shared" si="38"/>
        <v>-327.05306971904264</v>
      </c>
      <c r="N36" s="85">
        <f t="shared" si="38"/>
        <v>-312.48860353130016</v>
      </c>
      <c r="O36" s="85">
        <f t="shared" si="38"/>
        <v>-303.59759398496237</v>
      </c>
      <c r="P36" s="85">
        <f t="shared" si="38"/>
        <v>-297.24206349206344</v>
      </c>
      <c r="Q36" s="85">
        <f t="shared" si="38"/>
        <v>-293.80149812734078</v>
      </c>
      <c r="R36" s="85">
        <f t="shared" ref="R36:U36" si="39">R35-R29</f>
        <v>-293.00658561296854</v>
      </c>
      <c r="S36" s="85">
        <f t="shared" si="39"/>
        <v>-297.68377823408616</v>
      </c>
      <c r="T36" s="85">
        <f t="shared" si="39"/>
        <v>-301.63625077591558</v>
      </c>
      <c r="U36" s="85">
        <f t="shared" si="39"/>
        <v>72.895354455718973</v>
      </c>
    </row>
    <row r="37" spans="6:21" x14ac:dyDescent="0.3">
      <c r="F37" s="59"/>
      <c r="G37" s="72"/>
      <c r="H37" s="72"/>
      <c r="I37" s="59" t="s">
        <v>166</v>
      </c>
      <c r="J37" s="101" t="s">
        <v>115</v>
      </c>
      <c r="K37" s="108">
        <f>(K24*K35)</f>
        <v>0</v>
      </c>
      <c r="L37" s="108">
        <f t="shared" ref="L37:Q37" si="40">(L24*L35)</f>
        <v>0</v>
      </c>
      <c r="M37" s="108">
        <f t="shared" si="40"/>
        <v>0</v>
      </c>
      <c r="N37" s="108">
        <f t="shared" si="40"/>
        <v>0</v>
      </c>
      <c r="O37" s="108">
        <f t="shared" si="40"/>
        <v>0</v>
      </c>
      <c r="P37" s="108">
        <f t="shared" si="40"/>
        <v>0</v>
      </c>
      <c r="Q37" s="108">
        <f t="shared" si="40"/>
        <v>0</v>
      </c>
      <c r="R37" s="108">
        <f t="shared" ref="R37:U37" si="41">(R24*R35)</f>
        <v>0</v>
      </c>
      <c r="S37" s="108">
        <f t="shared" si="41"/>
        <v>0</v>
      </c>
      <c r="T37" s="108">
        <f t="shared" si="41"/>
        <v>0</v>
      </c>
      <c r="U37" s="108">
        <f t="shared" si="41"/>
        <v>1352120</v>
      </c>
    </row>
    <row r="38" spans="6:21" x14ac:dyDescent="0.3">
      <c r="F38" s="59"/>
      <c r="G38" s="72"/>
      <c r="H38" s="72"/>
      <c r="I38" s="59" t="s">
        <v>166</v>
      </c>
      <c r="J38" s="101" t="s">
        <v>116</v>
      </c>
      <c r="K38" s="108">
        <f>K37-K28</f>
        <v>-592040</v>
      </c>
      <c r="L38" s="108">
        <f t="shared" ref="L38:Q38" si="42">L37-L28</f>
        <v>-609356</v>
      </c>
      <c r="M38" s="108">
        <f t="shared" si="42"/>
        <v>-628596</v>
      </c>
      <c r="N38" s="108">
        <f t="shared" si="42"/>
        <v>-648934.66666666663</v>
      </c>
      <c r="O38" s="108">
        <f t="shared" si="42"/>
        <v>-672974.66666666663</v>
      </c>
      <c r="P38" s="108">
        <f t="shared" si="42"/>
        <v>-699113.33333333326</v>
      </c>
      <c r="Q38" s="108">
        <f t="shared" si="42"/>
        <v>-732153.33333333326</v>
      </c>
      <c r="R38" s="108">
        <f t="shared" ref="R38:U38" si="43">R37-R28</f>
        <v>-771193.33333333326</v>
      </c>
      <c r="S38" s="108">
        <f t="shared" si="43"/>
        <v>-869831.99999999988</v>
      </c>
      <c r="T38" s="108">
        <f t="shared" si="43"/>
        <v>-971872</v>
      </c>
      <c r="U38" s="108">
        <f t="shared" si="43"/>
        <v>281609.33333333349</v>
      </c>
    </row>
    <row r="39" spans="6:21" x14ac:dyDescent="0.3">
      <c r="F39" s="59"/>
      <c r="G39" s="72"/>
      <c r="H39" s="72"/>
      <c r="I39" s="59" t="s">
        <v>166</v>
      </c>
      <c r="J39" s="101" t="s">
        <v>117</v>
      </c>
      <c r="K39" s="108">
        <f t="shared" ref="K39:Q39" si="44">K38/(K6-(K6*K23))</f>
        <v>-2960.2</v>
      </c>
      <c r="L39" s="108">
        <f t="shared" si="44"/>
        <v>-3046.78</v>
      </c>
      <c r="M39" s="108">
        <f t="shared" si="44"/>
        <v>-3142.98</v>
      </c>
      <c r="N39" s="108">
        <f t="shared" si="44"/>
        <v>-3244.6733333333332</v>
      </c>
      <c r="O39" s="108">
        <f t="shared" si="44"/>
        <v>-3364.873333333333</v>
      </c>
      <c r="P39" s="108">
        <f t="shared" si="44"/>
        <v>-3495.5666666666662</v>
      </c>
      <c r="Q39" s="108">
        <f t="shared" si="44"/>
        <v>-3660.7666666666664</v>
      </c>
      <c r="R39" s="108">
        <f t="shared" ref="R39:U39" si="45">R38/(R6-(R6*R23))</f>
        <v>-3855.9666666666662</v>
      </c>
      <c r="S39" s="108">
        <f t="shared" si="45"/>
        <v>-4349.16</v>
      </c>
      <c r="T39" s="108">
        <f t="shared" si="45"/>
        <v>-4859.3599999999997</v>
      </c>
      <c r="U39" s="108">
        <f t="shared" si="45"/>
        <v>1408.0466666666675</v>
      </c>
    </row>
    <row r="40" spans="6:21" ht="15" customHeight="1" x14ac:dyDescent="0.3">
      <c r="F40" s="59"/>
      <c r="G40" s="72"/>
      <c r="H40" s="72"/>
      <c r="I40" s="59" t="s">
        <v>166</v>
      </c>
      <c r="J40" s="101" t="s">
        <v>118</v>
      </c>
      <c r="K40" s="86">
        <f>K38/K28</f>
        <v>-1</v>
      </c>
      <c r="L40" s="86">
        <f t="shared" ref="L40:Q40" si="46">L38/L28</f>
        <v>-1</v>
      </c>
      <c r="M40" s="86">
        <f t="shared" si="46"/>
        <v>-1</v>
      </c>
      <c r="N40" s="86">
        <f t="shared" si="46"/>
        <v>-1</v>
      </c>
      <c r="O40" s="86">
        <f t="shared" si="46"/>
        <v>-1</v>
      </c>
      <c r="P40" s="86">
        <f t="shared" si="46"/>
        <v>-1</v>
      </c>
      <c r="Q40" s="86">
        <f t="shared" si="46"/>
        <v>-1</v>
      </c>
      <c r="R40" s="86">
        <f t="shared" ref="R40:U40" si="47">R38/R28</f>
        <v>-1</v>
      </c>
      <c r="S40" s="86">
        <f t="shared" si="47"/>
        <v>-1</v>
      </c>
      <c r="T40" s="86">
        <f t="shared" si="47"/>
        <v>-1</v>
      </c>
      <c r="U40" s="86">
        <f t="shared" si="47"/>
        <v>0.26306074484078024</v>
      </c>
    </row>
    <row r="41" spans="6:21" x14ac:dyDescent="0.3">
      <c r="F41" s="59"/>
      <c r="G41" s="72"/>
      <c r="H41" s="72"/>
      <c r="I41" s="59" t="s">
        <v>166</v>
      </c>
      <c r="J41" s="101" t="s">
        <v>119</v>
      </c>
      <c r="K41" s="86">
        <f>((1+K40)^(1/(K13/30)))-1</f>
        <v>-1</v>
      </c>
      <c r="L41" s="86">
        <f t="shared" ref="L41:Q41" si="48">((1+L40)^(1/(L13/30)))-1</f>
        <v>-1</v>
      </c>
      <c r="M41" s="86">
        <f t="shared" si="48"/>
        <v>-1</v>
      </c>
      <c r="N41" s="86">
        <f t="shared" si="48"/>
        <v>-1</v>
      </c>
      <c r="O41" s="86">
        <f t="shared" si="48"/>
        <v>-1</v>
      </c>
      <c r="P41" s="86">
        <f t="shared" si="48"/>
        <v>-1</v>
      </c>
      <c r="Q41" s="86">
        <f t="shared" si="48"/>
        <v>-1</v>
      </c>
      <c r="R41" s="86">
        <f t="shared" ref="R41:U41" si="49">((1+R40)^(1/(R13/30)))-1</f>
        <v>-1</v>
      </c>
      <c r="S41" s="86">
        <f t="shared" si="49"/>
        <v>-1</v>
      </c>
      <c r="T41" s="86">
        <f t="shared" si="49"/>
        <v>-1</v>
      </c>
      <c r="U41" s="86">
        <f t="shared" si="49"/>
        <v>0.27327327961273573</v>
      </c>
    </row>
    <row r="42" spans="6:21" ht="15" thickBot="1" x14ac:dyDescent="0.35">
      <c r="F42" s="59"/>
      <c r="G42" s="72"/>
      <c r="H42" s="72"/>
      <c r="I42" s="59" t="s">
        <v>166</v>
      </c>
      <c r="J42" s="109" t="s">
        <v>120</v>
      </c>
      <c r="K42" s="110">
        <f>((1+K41)^12)-1</f>
        <v>-1</v>
      </c>
      <c r="L42" s="110">
        <f t="shared" ref="L42:Q42" si="50">((1+L41)^12)-1</f>
        <v>-1</v>
      </c>
      <c r="M42" s="110">
        <f t="shared" si="50"/>
        <v>-1</v>
      </c>
      <c r="N42" s="110">
        <f t="shared" si="50"/>
        <v>-1</v>
      </c>
      <c r="O42" s="110">
        <f t="shared" si="50"/>
        <v>-1</v>
      </c>
      <c r="P42" s="110">
        <f t="shared" si="50"/>
        <v>-1</v>
      </c>
      <c r="Q42" s="110">
        <f t="shared" si="50"/>
        <v>-1</v>
      </c>
      <c r="R42" s="110">
        <f t="shared" ref="R42:U42" si="51">((1+R41)^12)-1</f>
        <v>-1</v>
      </c>
      <c r="S42" s="110">
        <f t="shared" si="51"/>
        <v>-1</v>
      </c>
      <c r="T42" s="110">
        <f t="shared" si="51"/>
        <v>-1</v>
      </c>
      <c r="U42" s="110">
        <f t="shared" si="51"/>
        <v>17.157644248590572</v>
      </c>
    </row>
    <row r="43" spans="6:21" x14ac:dyDescent="0.3">
      <c r="F43" s="59"/>
      <c r="G43" s="72"/>
    </row>
    <row r="44" spans="6:21" x14ac:dyDescent="0.3">
      <c r="F44" s="59"/>
      <c r="G44" s="89"/>
      <c r="H44" s="89"/>
    </row>
    <row r="45" spans="6:21" x14ac:dyDescent="0.3">
      <c r="F45" s="59"/>
      <c r="G45" s="82"/>
      <c r="I45" s="90"/>
      <c r="J45" s="91"/>
      <c r="K45" s="94"/>
      <c r="L45" s="94"/>
      <c r="M45" s="94"/>
      <c r="N45" s="91"/>
      <c r="O45" s="94"/>
      <c r="P45" s="94"/>
      <c r="Q45" s="94"/>
      <c r="R45" s="94"/>
      <c r="S45" s="97"/>
      <c r="U45" s="95"/>
    </row>
    <row r="46" spans="6:21" x14ac:dyDescent="0.3">
      <c r="F46" s="59"/>
      <c r="G46" s="80"/>
      <c r="I46" s="90"/>
      <c r="J46" s="91"/>
      <c r="K46" s="94"/>
      <c r="L46" s="94"/>
      <c r="M46" s="94"/>
      <c r="N46" s="91"/>
      <c r="O46" s="94"/>
      <c r="P46" s="92"/>
      <c r="Q46" s="94"/>
      <c r="R46" s="94"/>
      <c r="S46" s="97"/>
      <c r="U46" s="95"/>
    </row>
    <row r="47" spans="6:21" x14ac:dyDescent="0.3">
      <c r="F47" s="59"/>
      <c r="G47" s="75"/>
      <c r="I47" s="90"/>
      <c r="J47" s="91"/>
      <c r="K47" s="94"/>
      <c r="L47" s="94"/>
      <c r="M47" s="75"/>
      <c r="N47" s="91"/>
      <c r="O47" s="94"/>
      <c r="P47" s="94"/>
      <c r="Q47" s="94"/>
      <c r="R47" s="94"/>
      <c r="S47" s="97"/>
      <c r="U47" s="95"/>
    </row>
    <row r="48" spans="6:21" x14ac:dyDescent="0.3">
      <c r="I48" s="90"/>
      <c r="J48" s="91"/>
      <c r="K48" s="94"/>
      <c r="L48" s="94"/>
      <c r="M48" s="75"/>
      <c r="N48" s="91"/>
      <c r="O48" s="94"/>
      <c r="P48" s="94"/>
      <c r="Q48" s="94"/>
      <c r="R48" s="94"/>
      <c r="S48" s="97"/>
      <c r="U48" s="95"/>
    </row>
    <row r="49" spans="9:21" x14ac:dyDescent="0.3">
      <c r="I49" s="90"/>
      <c r="J49" s="91"/>
      <c r="K49" s="94"/>
      <c r="L49" s="94"/>
      <c r="M49" s="75"/>
      <c r="N49" s="91"/>
      <c r="O49" s="94"/>
      <c r="P49" s="94"/>
      <c r="Q49" s="94"/>
      <c r="R49" s="94"/>
      <c r="S49" s="97"/>
      <c r="U49" s="95"/>
    </row>
    <row r="50" spans="9:21" x14ac:dyDescent="0.3">
      <c r="J50" s="91"/>
      <c r="K50" s="94"/>
      <c r="L50" s="94"/>
      <c r="M50" s="94"/>
      <c r="N50" s="91"/>
      <c r="O50" s="94"/>
      <c r="P50" s="94"/>
      <c r="Q50" s="94"/>
      <c r="R50" s="94"/>
      <c r="U50" s="95"/>
    </row>
    <row r="51" spans="9:21" x14ac:dyDescent="0.3">
      <c r="K51" s="91"/>
      <c r="L51" s="82"/>
      <c r="M51" s="82"/>
      <c r="N51" s="91"/>
      <c r="O51" s="94"/>
      <c r="P51" s="94"/>
      <c r="Q51" s="94"/>
      <c r="R51" s="94"/>
      <c r="U51" s="95"/>
    </row>
    <row r="52" spans="9:21" x14ac:dyDescent="0.3">
      <c r="K52" s="97"/>
      <c r="L52" s="96"/>
      <c r="M52" s="96"/>
      <c r="N52" s="91"/>
      <c r="O52" s="92"/>
      <c r="P52" s="94"/>
      <c r="Q52" s="94"/>
      <c r="R52" s="94"/>
      <c r="U52" s="95"/>
    </row>
    <row r="53" spans="9:21" x14ac:dyDescent="0.3">
      <c r="K53" s="97"/>
      <c r="L53" s="82"/>
      <c r="M53" s="82"/>
      <c r="N53" s="91"/>
      <c r="O53" s="75"/>
      <c r="P53" s="94"/>
      <c r="Q53" s="94"/>
      <c r="R53" s="94"/>
      <c r="U53" s="95"/>
    </row>
    <row r="54" spans="9:21" x14ac:dyDescent="0.3">
      <c r="K54" s="97"/>
      <c r="N54" s="91"/>
      <c r="O54" s="75"/>
      <c r="P54" s="94"/>
      <c r="Q54" s="94"/>
      <c r="R54" s="94"/>
      <c r="U54" s="95"/>
    </row>
    <row r="55" spans="9:21" x14ac:dyDescent="0.3">
      <c r="N55" s="91"/>
      <c r="O55" s="75"/>
      <c r="P55" s="94"/>
      <c r="Q55" s="94"/>
      <c r="R55" s="94"/>
      <c r="U55" s="95"/>
    </row>
    <row r="56" spans="9:21" x14ac:dyDescent="0.3">
      <c r="K56" s="96"/>
      <c r="N56" s="91"/>
      <c r="O56" s="94"/>
      <c r="P56" s="94"/>
      <c r="Q56" s="94"/>
      <c r="R56" s="94"/>
      <c r="U56" s="95"/>
    </row>
    <row r="57" spans="9:21" x14ac:dyDescent="0.3">
      <c r="K57" s="93"/>
      <c r="N57" s="91"/>
      <c r="O57" s="94"/>
      <c r="P57" s="94"/>
      <c r="Q57" s="94"/>
      <c r="R57" s="94"/>
      <c r="U57" s="95"/>
    </row>
    <row r="58" spans="9:21" x14ac:dyDescent="0.3">
      <c r="K58" s="96"/>
      <c r="N58" s="91"/>
      <c r="O58" s="94"/>
      <c r="P58" s="94"/>
      <c r="Q58" s="94"/>
      <c r="R58" s="94"/>
      <c r="U58" s="95"/>
    </row>
    <row r="59" spans="9:21" x14ac:dyDescent="0.3">
      <c r="K59" s="75"/>
      <c r="N59" s="91"/>
      <c r="O59" s="94"/>
      <c r="P59" s="94"/>
      <c r="Q59" s="94"/>
      <c r="R59" s="94"/>
      <c r="U59" s="95"/>
    </row>
    <row r="60" spans="9:21" x14ac:dyDescent="0.3">
      <c r="N60" s="91"/>
      <c r="O60" s="94"/>
      <c r="P60" s="94"/>
      <c r="Q60" s="94"/>
      <c r="R60" s="94"/>
      <c r="U60" s="95"/>
    </row>
    <row r="61" spans="9:21" x14ac:dyDescent="0.3">
      <c r="N61" s="91"/>
      <c r="O61" s="94"/>
      <c r="P61" s="94"/>
      <c r="Q61" s="94"/>
      <c r="R61" s="94"/>
      <c r="U61" s="95"/>
    </row>
    <row r="62" spans="9:21" x14ac:dyDescent="0.3">
      <c r="N62" s="91"/>
      <c r="O62" s="94"/>
      <c r="P62" s="94"/>
      <c r="Q62" s="94"/>
      <c r="R62" s="94"/>
      <c r="U62" s="95"/>
    </row>
    <row r="63" spans="9:21" x14ac:dyDescent="0.3">
      <c r="N63" s="91"/>
      <c r="O63" s="94"/>
      <c r="P63" s="94"/>
      <c r="Q63" s="94"/>
      <c r="R63" s="94"/>
      <c r="U63" s="95"/>
    </row>
    <row r="64" spans="9:21" x14ac:dyDescent="0.3">
      <c r="O64" s="94"/>
      <c r="P64" s="94"/>
      <c r="Q64" s="94"/>
      <c r="R64" s="94"/>
    </row>
    <row r="65" spans="15:19" x14ac:dyDescent="0.3">
      <c r="O65" s="94"/>
      <c r="P65" s="94"/>
      <c r="Q65" s="94"/>
      <c r="R65" s="94"/>
    </row>
    <row r="66" spans="15:19" x14ac:dyDescent="0.3">
      <c r="O66" s="94"/>
      <c r="P66" s="94"/>
      <c r="Q66" s="94"/>
      <c r="R66" s="94"/>
    </row>
    <row r="67" spans="15:19" x14ac:dyDescent="0.3">
      <c r="O67" s="94"/>
      <c r="P67" s="94"/>
      <c r="Q67" s="94"/>
      <c r="R67" s="94"/>
      <c r="S67" s="97"/>
    </row>
    <row r="68" spans="15:19" x14ac:dyDescent="0.3">
      <c r="O68" s="97"/>
      <c r="P68" s="97"/>
      <c r="Q68" s="97"/>
      <c r="R68" s="97"/>
    </row>
    <row r="69" spans="15:19" x14ac:dyDescent="0.3">
      <c r="R69" s="97"/>
    </row>
  </sheetData>
  <mergeCells count="1">
    <mergeCell ref="E10:G11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A29E-96FC-49B2-BB23-8FE20E9ECE9A}">
  <dimension ref="G2:V30"/>
  <sheetViews>
    <sheetView topLeftCell="J1" workbookViewId="0">
      <selection activeCell="P22" sqref="P22"/>
    </sheetView>
  </sheetViews>
  <sheetFormatPr defaultRowHeight="14.4" x14ac:dyDescent="0.3"/>
  <cols>
    <col min="1" max="7" width="8.88671875" style="1"/>
    <col min="8" max="19" width="10.33203125" style="1" bestFit="1" customWidth="1"/>
    <col min="20" max="20" width="8.88671875" style="1"/>
    <col min="21" max="22" width="8.77734375" style="1" customWidth="1"/>
    <col min="23" max="16384" width="8.88671875" style="1"/>
  </cols>
  <sheetData>
    <row r="2" spans="7:22" ht="15" thickBot="1" x14ac:dyDescent="0.35"/>
    <row r="3" spans="7:22" ht="15" thickBot="1" x14ac:dyDescent="0.35">
      <c r="G3" s="149" t="s">
        <v>138</v>
      </c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1"/>
    </row>
    <row r="4" spans="7:22" ht="15" thickBot="1" x14ac:dyDescent="0.35">
      <c r="G4" s="152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4"/>
      <c r="U4" s="263" t="str">
        <f>G7</f>
        <v>LOTE 1</v>
      </c>
      <c r="V4" s="264"/>
    </row>
    <row r="5" spans="7:22" ht="18" x14ac:dyDescent="0.35">
      <c r="G5" s="146" t="s">
        <v>137</v>
      </c>
      <c r="H5" s="65" t="s">
        <v>121</v>
      </c>
      <c r="I5" s="65" t="s">
        <v>122</v>
      </c>
      <c r="J5" s="65" t="s">
        <v>123</v>
      </c>
      <c r="K5" s="65" t="s">
        <v>124</v>
      </c>
      <c r="L5" s="65" t="s">
        <v>125</v>
      </c>
      <c r="M5" s="65" t="s">
        <v>126</v>
      </c>
      <c r="N5" s="65" t="s">
        <v>127</v>
      </c>
      <c r="O5" s="65" t="s">
        <v>128</v>
      </c>
      <c r="P5" s="65" t="s">
        <v>129</v>
      </c>
      <c r="Q5" s="65" t="s">
        <v>130</v>
      </c>
      <c r="R5" s="117" t="s">
        <v>131</v>
      </c>
      <c r="U5" s="261">
        <v>46023</v>
      </c>
      <c r="V5" s="262">
        <v>374.70886075949369</v>
      </c>
    </row>
    <row r="6" spans="7:22" x14ac:dyDescent="0.3">
      <c r="G6" s="140"/>
      <c r="H6" s="118">
        <v>46023</v>
      </c>
      <c r="I6" s="118">
        <v>46054</v>
      </c>
      <c r="J6" s="118">
        <v>46082</v>
      </c>
      <c r="K6" s="118">
        <v>46113</v>
      </c>
      <c r="L6" s="118">
        <v>46143</v>
      </c>
      <c r="M6" s="118">
        <v>46174</v>
      </c>
      <c r="N6" s="118">
        <v>46204</v>
      </c>
      <c r="O6" s="118">
        <v>46235</v>
      </c>
      <c r="P6" s="118">
        <v>46266</v>
      </c>
      <c r="Q6" s="118">
        <v>46296</v>
      </c>
      <c r="R6" s="118">
        <v>46327</v>
      </c>
      <c r="U6" s="257">
        <v>46054</v>
      </c>
      <c r="V6" s="258">
        <v>349.80252583237655</v>
      </c>
    </row>
    <row r="7" spans="7:22" x14ac:dyDescent="0.3">
      <c r="G7" s="119" t="s">
        <v>133</v>
      </c>
      <c r="H7" s="6">
        <f>'PE LOTE 1'!K29</f>
        <v>374.70886075949369</v>
      </c>
      <c r="I7" s="6">
        <f>'PE LOTE 1'!L29</f>
        <v>349.80252583237655</v>
      </c>
      <c r="J7" s="6">
        <f>'PE LOTE 1'!M29</f>
        <v>327.05306971904264</v>
      </c>
      <c r="K7" s="6">
        <f>'PE LOTE 1'!N29</f>
        <v>312.48860353130016</v>
      </c>
      <c r="L7" s="6">
        <f>'PE LOTE 1'!O29</f>
        <v>303.59759398496237</v>
      </c>
      <c r="M7" s="6">
        <f>'PE LOTE 1'!P29</f>
        <v>297.24206349206344</v>
      </c>
      <c r="N7" s="6">
        <f>'PE LOTE 1'!Q29</f>
        <v>293.80149812734078</v>
      </c>
      <c r="O7" s="6">
        <f>'PE LOTE 1'!R29</f>
        <v>293.00658561296854</v>
      </c>
      <c r="P7" s="6">
        <f>'PE LOTE 1'!S29</f>
        <v>297.68377823408616</v>
      </c>
      <c r="Q7" s="6">
        <f>'PE LOTE 1'!T29</f>
        <v>301.63625077591558</v>
      </c>
      <c r="R7" s="15">
        <f>'PE LOTE 1'!U29</f>
        <v>277.10464554428103</v>
      </c>
      <c r="U7" s="257">
        <v>46082</v>
      </c>
      <c r="V7" s="258">
        <v>327.05306971904264</v>
      </c>
    </row>
    <row r="8" spans="7:22" x14ac:dyDescent="0.3">
      <c r="G8" s="119" t="s">
        <v>134</v>
      </c>
      <c r="H8" s="6">
        <f>'PE LOTE 2'!H29</f>
        <v>378.11587485515651</v>
      </c>
      <c r="I8" s="6">
        <f>'PE LOTE 2'!I29</f>
        <v>351.73082287308233</v>
      </c>
      <c r="J8" s="6">
        <f>'PE LOTE 2'!J29</f>
        <v>331.95512820512823</v>
      </c>
      <c r="K8" s="6">
        <f>'PE LOTE 2'!K29</f>
        <v>317.19477434679339</v>
      </c>
      <c r="L8" s="6">
        <f>'PE LOTE 2'!L29</f>
        <v>308.65623253214085</v>
      </c>
      <c r="M8" s="6">
        <f>'PE LOTE 2'!M29</f>
        <v>302.05111989459817</v>
      </c>
      <c r="N8" s="6">
        <f>'PE LOTE 2'!N29</f>
        <v>298.58776529338326</v>
      </c>
      <c r="O8" s="6">
        <f>'PE LOTE 2'!O29</f>
        <v>297.57366177167222</v>
      </c>
      <c r="P8" s="6">
        <f>'PE LOTE 2'!P29</f>
        <v>301.79603157670147</v>
      </c>
      <c r="Q8" s="6">
        <f>'PE LOTE 2'!Q29</f>
        <v>305.15437025501262</v>
      </c>
      <c r="R8" s="15">
        <f>'PE LOTE 2'!R29</f>
        <v>280.0525786245172</v>
      </c>
      <c r="U8" s="257">
        <v>46113</v>
      </c>
      <c r="V8" s="258">
        <v>312.48860353130016</v>
      </c>
    </row>
    <row r="9" spans="7:22" ht="15" thickBot="1" x14ac:dyDescent="0.35">
      <c r="G9" s="120" t="s">
        <v>135</v>
      </c>
      <c r="H9" s="10">
        <f>'PE LOTE 3'!H29</f>
        <v>371.04257528556599</v>
      </c>
      <c r="I9" s="10">
        <f>'PE LOTE 3'!I29</f>
        <v>347.77904040404047</v>
      </c>
      <c r="J9" s="10">
        <f>'PE LOTE 3'!J29</f>
        <v>330.0292397660819</v>
      </c>
      <c r="K9" s="10">
        <f>'PE LOTE 3'!K29</f>
        <v>316.60632497273724</v>
      </c>
      <c r="L9" s="10">
        <f>'PE LOTE 3'!L29</f>
        <v>308.76018566271279</v>
      </c>
      <c r="M9" s="10">
        <f>'PE LOTE 3'!M29</f>
        <v>302.63345543345548</v>
      </c>
      <c r="N9" s="10">
        <f>'PE LOTE 3'!N29</f>
        <v>299.38304297328693</v>
      </c>
      <c r="O9" s="10">
        <f>'PE LOTE 3'!O29</f>
        <v>319.99248120300757</v>
      </c>
      <c r="P9" s="10">
        <f>'PE LOTE 3'!P29</f>
        <v>321.87046320433132</v>
      </c>
      <c r="Q9" s="10">
        <f>'PE LOTE 3'!Q29</f>
        <v>293.98364739913393</v>
      </c>
      <c r="R9" s="16">
        <f>'PE LOTE 3'!R29</f>
        <v>0</v>
      </c>
      <c r="U9" s="257">
        <v>46143</v>
      </c>
      <c r="V9" s="258">
        <v>303.59759398496237</v>
      </c>
    </row>
    <row r="10" spans="7:22" x14ac:dyDescent="0.3"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U10" s="257">
        <v>46174</v>
      </c>
      <c r="V10" s="258">
        <v>297.24206349206344</v>
      </c>
    </row>
    <row r="11" spans="7:22" ht="15" thickBot="1" x14ac:dyDescent="0.35"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U11" s="257">
        <v>46204</v>
      </c>
      <c r="V11" s="258">
        <v>293.80149812734078</v>
      </c>
    </row>
    <row r="12" spans="7:22" x14ac:dyDescent="0.3">
      <c r="G12" s="149" t="s">
        <v>139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1"/>
      <c r="U12" s="257">
        <v>46235</v>
      </c>
      <c r="V12" s="258">
        <v>293.00658561296854</v>
      </c>
    </row>
    <row r="13" spans="7:22" ht="15" thickBot="1" x14ac:dyDescent="0.35">
      <c r="G13" s="152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4"/>
      <c r="U13" s="257">
        <v>46266</v>
      </c>
      <c r="V13" s="258">
        <v>297.68377823408616</v>
      </c>
    </row>
    <row r="14" spans="7:22" ht="18" x14ac:dyDescent="0.35">
      <c r="G14" s="146" t="s">
        <v>137</v>
      </c>
      <c r="H14" s="65" t="s">
        <v>121</v>
      </c>
      <c r="I14" s="65" t="s">
        <v>122</v>
      </c>
      <c r="J14" s="65" t="s">
        <v>123</v>
      </c>
      <c r="K14" s="65" t="s">
        <v>124</v>
      </c>
      <c r="L14" s="65" t="s">
        <v>125</v>
      </c>
      <c r="M14" s="65" t="s">
        <v>126</v>
      </c>
      <c r="N14" s="65" t="s">
        <v>127</v>
      </c>
      <c r="O14" s="65" t="s">
        <v>128</v>
      </c>
      <c r="P14" s="65" t="s">
        <v>129</v>
      </c>
      <c r="Q14" s="65" t="s">
        <v>130</v>
      </c>
      <c r="R14" s="65" t="s">
        <v>131</v>
      </c>
      <c r="S14" s="147" t="s">
        <v>136</v>
      </c>
      <c r="U14" s="257">
        <v>46296</v>
      </c>
      <c r="V14" s="258">
        <v>301.63625077591558</v>
      </c>
    </row>
    <row r="15" spans="7:22" ht="15" thickBot="1" x14ac:dyDescent="0.35">
      <c r="G15" s="140"/>
      <c r="H15" s="118">
        <v>46023</v>
      </c>
      <c r="I15" s="118">
        <v>46054</v>
      </c>
      <c r="J15" s="118">
        <v>46082</v>
      </c>
      <c r="K15" s="118">
        <v>46113</v>
      </c>
      <c r="L15" s="118">
        <v>46143</v>
      </c>
      <c r="M15" s="118">
        <v>46174</v>
      </c>
      <c r="N15" s="118">
        <v>46204</v>
      </c>
      <c r="O15" s="118">
        <v>46235</v>
      </c>
      <c r="P15" s="118">
        <v>46266</v>
      </c>
      <c r="Q15" s="118">
        <v>46296</v>
      </c>
      <c r="R15" s="118">
        <v>46327</v>
      </c>
      <c r="S15" s="148"/>
      <c r="U15" s="259">
        <v>46327</v>
      </c>
      <c r="V15" s="260">
        <v>277.10464554428103</v>
      </c>
    </row>
    <row r="16" spans="7:22" x14ac:dyDescent="0.3">
      <c r="G16" s="119" t="s">
        <v>133</v>
      </c>
      <c r="H16" s="121">
        <f>('PE LOTE 1'!K26/'PE LOTE 1'!K6)/'PE LOTE 1'!K21</f>
        <v>100.22222222222223</v>
      </c>
      <c r="I16" s="121">
        <f>('PE LOTE 1'!L26/'PE LOTE 1'!L6)/'PE LOTE 1'!L21</f>
        <v>106.88888888888889</v>
      </c>
      <c r="J16" s="121">
        <f>('PE LOTE 1'!M26/'PE LOTE 1'!M6)/'PE LOTE 1'!M21</f>
        <v>106.8888888888889</v>
      </c>
      <c r="K16" s="121">
        <f>('PE LOTE 1'!N26/'PE LOTE 1'!N6)/'PE LOTE 1'!N21</f>
        <v>131.5</v>
      </c>
      <c r="L16" s="121">
        <f>('PE LOTE 1'!O26/'PE LOTE 1'!O6)/'PE LOTE 1'!O21</f>
        <v>171.71428571428572</v>
      </c>
      <c r="M16" s="121">
        <f>('PE LOTE 1'!P26/'PE LOTE 1'!P6)/'PE LOTE 1'!P21</f>
        <v>193.14285714285717</v>
      </c>
      <c r="N16" s="121">
        <f>('PE LOTE 1'!Q26/'PE LOTE 1'!Q6)/'PE LOTE 1'!Q21</f>
        <v>236</v>
      </c>
      <c r="O16" s="121">
        <f>('PE LOTE 1'!R26/'PE LOTE 1'!R6)/'PE LOTE 1'!R21</f>
        <v>278.85714285714283</v>
      </c>
      <c r="P16" s="121">
        <f>('PE LOTE 1'!S26/'PE LOTE 1'!S6)/'PE LOTE 1'!S21</f>
        <v>340.13333333333338</v>
      </c>
      <c r="Q16" s="121">
        <f>('PE LOTE 1'!T26/'PE LOTE 1'!T6)/'PE LOTE 1'!T21</f>
        <v>340.13333333333333</v>
      </c>
      <c r="R16" s="121">
        <f>('PE LOTE 1'!U26/'PE LOTE 1'!U6)/'PE LOTE 1'!U21</f>
        <v>309.21212121212125</v>
      </c>
      <c r="S16" s="122">
        <f>AVERAGE(H16:R16)</f>
        <v>210.4266430539158</v>
      </c>
    </row>
    <row r="17" spans="7:22" x14ac:dyDescent="0.3">
      <c r="G17" s="119" t="s">
        <v>134</v>
      </c>
      <c r="H17" s="121">
        <f>('PE LOTE 2'!H26/'PE LOTE 2'!H6)/'PE LOTE 2'!H21</f>
        <v>100.2222222222222</v>
      </c>
      <c r="I17" s="121">
        <f>('PE LOTE 2'!I26/'PE LOTE 2'!I6)/'PE LOTE 2'!I21</f>
        <v>106.88888888888889</v>
      </c>
      <c r="J17" s="121">
        <f>('PE LOTE 2'!J26/'PE LOTE 2'!J6)/'PE LOTE 2'!J21</f>
        <v>106.8888888888889</v>
      </c>
      <c r="K17" s="121">
        <f>('PE LOTE 2'!K26/'PE LOTE 2'!K6)/'PE LOTE 2'!K21</f>
        <v>131.50000000000003</v>
      </c>
      <c r="L17" s="121">
        <f>('PE LOTE 2'!L26/'PE LOTE 2'!L6)/'PE LOTE 2'!L21</f>
        <v>171.71428571428572</v>
      </c>
      <c r="M17" s="121">
        <f>('PE LOTE 2'!M26/'PE LOTE 2'!M6)/'PE LOTE 2'!M21</f>
        <v>193.14285714285714</v>
      </c>
      <c r="N17" s="121">
        <f>('PE LOTE 2'!N26/'PE LOTE 2'!N6)/'PE LOTE 2'!N21</f>
        <v>236</v>
      </c>
      <c r="O17" s="121">
        <f>('PE LOTE 2'!O26/'PE LOTE 2'!O6)/'PE LOTE 2'!O21</f>
        <v>278.85714285714283</v>
      </c>
      <c r="P17" s="121">
        <f>('PE LOTE 2'!P26/'PE LOTE 2'!P6)/'PE LOTE 2'!P21</f>
        <v>340.13333333333333</v>
      </c>
      <c r="Q17" s="121">
        <f>('PE LOTE 2'!Q26/'PE LOTE 2'!Q6)/'PE LOTE 2'!Q21</f>
        <v>340.13333333333338</v>
      </c>
      <c r="R17" s="121">
        <f>('PE LOTE 2'!R26/'PE LOTE 2'!R6)/'PE LOTE 2'!R21</f>
        <v>309.21212121212119</v>
      </c>
      <c r="S17" s="122">
        <f t="shared" ref="S17" si="0">AVERAGE(H17:R17)</f>
        <v>210.4266430539158</v>
      </c>
    </row>
    <row r="18" spans="7:22" ht="15" thickBot="1" x14ac:dyDescent="0.35">
      <c r="G18" s="120" t="s">
        <v>135</v>
      </c>
      <c r="H18" s="123">
        <f>('PE LOTE 3'!H26/'PE LOTE 3'!H6)/'PE LOTE 3'!H21</f>
        <v>100.2222222222222</v>
      </c>
      <c r="I18" s="123">
        <f>('PE LOTE 3'!I26/'PE LOTE 3'!I6)/'PE LOTE 3'!I21</f>
        <v>106.8888888888889</v>
      </c>
      <c r="J18" s="123">
        <f>('PE LOTE 3'!J26/'PE LOTE 3'!J6)/'PE LOTE 3'!J21</f>
        <v>106.8888888888889</v>
      </c>
      <c r="K18" s="123">
        <f>('PE LOTE 3'!K26/'PE LOTE 3'!K6)/'PE LOTE 3'!K21</f>
        <v>131.5</v>
      </c>
      <c r="L18" s="123">
        <f>('PE LOTE 3'!L26/'PE LOTE 3'!L6)/'PE LOTE 3'!L21</f>
        <v>171.71428571428572</v>
      </c>
      <c r="M18" s="123">
        <f>('PE LOTE 3'!M26/'PE LOTE 3'!M6)/'PE LOTE 3'!M21</f>
        <v>193.14285714285717</v>
      </c>
      <c r="N18" s="123">
        <f>('PE LOTE 3'!N26/'PE LOTE 3'!N6)/'PE LOTE 3'!N21</f>
        <v>236</v>
      </c>
      <c r="O18" s="123">
        <f>('PE LOTE 3'!O26/'PE LOTE 3'!O6)/'PE LOTE 3'!O21</f>
        <v>728.857142857143</v>
      </c>
      <c r="P18" s="123">
        <f>('PE LOTE 3'!P26/'PE LOTE 3'!P6)/'PE LOTE 3'!P21</f>
        <v>340.13333333333333</v>
      </c>
      <c r="Q18" s="123">
        <f>('PE LOTE 3'!Q26/'PE LOTE 3'!Q6)/'PE LOTE 3'!Q21</f>
        <v>309.21212121212119</v>
      </c>
      <c r="R18" s="123"/>
      <c r="S18" s="124">
        <f>AVERAGE(H18:Q18)</f>
        <v>242.455974025974</v>
      </c>
    </row>
    <row r="19" spans="7:22" ht="15" thickBot="1" x14ac:dyDescent="0.35">
      <c r="U19" s="263" t="s">
        <v>133</v>
      </c>
      <c r="V19" s="264"/>
    </row>
    <row r="20" spans="7:22" x14ac:dyDescent="0.3">
      <c r="U20" s="261">
        <v>46023</v>
      </c>
      <c r="V20" s="262">
        <v>100.22222222222223</v>
      </c>
    </row>
    <row r="21" spans="7:22" x14ac:dyDescent="0.3">
      <c r="G21" s="256" t="s">
        <v>248</v>
      </c>
      <c r="H21" s="255"/>
      <c r="I21" s="255"/>
      <c r="J21" s="255"/>
      <c r="K21" s="255"/>
      <c r="U21" s="257">
        <v>46054</v>
      </c>
      <c r="V21" s="258">
        <v>106.88888888888889</v>
      </c>
    </row>
    <row r="22" spans="7:22" x14ac:dyDescent="0.3">
      <c r="G22" s="255"/>
      <c r="H22" s="255"/>
      <c r="I22" s="255"/>
      <c r="J22" s="255"/>
      <c r="K22" s="255"/>
      <c r="U22" s="257">
        <v>46082</v>
      </c>
      <c r="V22" s="258">
        <v>106.8888888888889</v>
      </c>
    </row>
    <row r="23" spans="7:22" x14ac:dyDescent="0.3">
      <c r="G23" s="255"/>
      <c r="H23" s="255"/>
      <c r="I23" s="255"/>
      <c r="J23" s="255"/>
      <c r="K23" s="255"/>
      <c r="U23" s="257">
        <v>46113</v>
      </c>
      <c r="V23" s="258">
        <v>131.5</v>
      </c>
    </row>
    <row r="24" spans="7:22" x14ac:dyDescent="0.3">
      <c r="G24" s="255"/>
      <c r="H24" s="255"/>
      <c r="I24" s="255"/>
      <c r="J24" s="255"/>
      <c r="K24" s="255"/>
      <c r="U24" s="257">
        <v>46143</v>
      </c>
      <c r="V24" s="258">
        <v>171.71428571428572</v>
      </c>
    </row>
    <row r="25" spans="7:22" x14ac:dyDescent="0.3">
      <c r="G25" s="255"/>
      <c r="H25" s="255"/>
      <c r="I25" s="255"/>
      <c r="J25" s="255"/>
      <c r="K25" s="255"/>
      <c r="U25" s="257">
        <v>46174</v>
      </c>
      <c r="V25" s="258">
        <v>193.14285714285717</v>
      </c>
    </row>
    <row r="26" spans="7:22" x14ac:dyDescent="0.3">
      <c r="G26" s="255"/>
      <c r="H26" s="255"/>
      <c r="I26" s="255"/>
      <c r="J26" s="255"/>
      <c r="K26" s="255"/>
      <c r="U26" s="257">
        <v>46204</v>
      </c>
      <c r="V26" s="258">
        <v>236</v>
      </c>
    </row>
    <row r="27" spans="7:22" x14ac:dyDescent="0.3">
      <c r="U27" s="257">
        <v>46235</v>
      </c>
      <c r="V27" s="258">
        <v>278.85714285714283</v>
      </c>
    </row>
    <row r="28" spans="7:22" x14ac:dyDescent="0.3">
      <c r="U28" s="257">
        <v>46266</v>
      </c>
      <c r="V28" s="258">
        <v>340.13333333333338</v>
      </c>
    </row>
    <row r="29" spans="7:22" x14ac:dyDescent="0.3">
      <c r="U29" s="257">
        <v>46296</v>
      </c>
      <c r="V29" s="258">
        <v>340.13333333333333</v>
      </c>
    </row>
    <row r="30" spans="7:22" ht="15" thickBot="1" x14ac:dyDescent="0.35">
      <c r="U30" s="259">
        <v>46327</v>
      </c>
      <c r="V30" s="260">
        <v>309.21212121212125</v>
      </c>
    </row>
  </sheetData>
  <mergeCells count="8">
    <mergeCell ref="G21:K26"/>
    <mergeCell ref="U4:V4"/>
    <mergeCell ref="U19:V19"/>
    <mergeCell ref="G5:G6"/>
    <mergeCell ref="S14:S15"/>
    <mergeCell ref="G14:G15"/>
    <mergeCell ref="G3:R4"/>
    <mergeCell ref="G12:S13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40CE-345B-4F30-A6D7-5687D076F091}">
  <dimension ref="B2:AK58"/>
  <sheetViews>
    <sheetView topLeftCell="D24" workbookViewId="0">
      <selection activeCell="P48" sqref="P48"/>
    </sheetView>
  </sheetViews>
  <sheetFormatPr defaultRowHeight="14.4" x14ac:dyDescent="0.3"/>
  <cols>
    <col min="1" max="1" width="8.88671875" style="1"/>
    <col min="2" max="2" width="30" style="1" bestFit="1" customWidth="1"/>
    <col min="3" max="13" width="8.88671875" style="1"/>
    <col min="14" max="14" width="8.88671875" style="2"/>
    <col min="15" max="18" width="8.88671875" style="1"/>
    <col min="19" max="19" width="9.109375" style="1" bestFit="1" customWidth="1"/>
    <col min="20" max="20" width="14.88671875" style="1" bestFit="1" customWidth="1"/>
    <col min="21" max="26" width="8.88671875" style="1"/>
    <col min="27" max="27" width="9.109375" style="1" bestFit="1" customWidth="1"/>
    <col min="28" max="32" width="8.88671875" style="1"/>
    <col min="33" max="37" width="10.109375" style="1" bestFit="1" customWidth="1"/>
    <col min="38" max="16384" width="8.88671875" style="1"/>
  </cols>
  <sheetData>
    <row r="2" spans="2:37" ht="15" thickBot="1" x14ac:dyDescent="0.35">
      <c r="B2" s="1" t="s">
        <v>144</v>
      </c>
      <c r="C2" s="2">
        <v>300</v>
      </c>
      <c r="D2" s="2" t="s">
        <v>15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29</v>
      </c>
      <c r="K2" s="2" t="s">
        <v>30</v>
      </c>
      <c r="L2" s="2" t="s">
        <v>32</v>
      </c>
    </row>
    <row r="3" spans="2:37" x14ac:dyDescent="0.3">
      <c r="B3" s="1" t="s">
        <v>0</v>
      </c>
      <c r="C3" s="133">
        <f>Q5+Q6+Q7</f>
        <v>1000</v>
      </c>
      <c r="D3" s="4" t="s">
        <v>14</v>
      </c>
      <c r="E3" s="4" t="s">
        <v>13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27</v>
      </c>
      <c r="L3" s="12" t="s">
        <v>28</v>
      </c>
      <c r="N3" s="141" t="s">
        <v>37</v>
      </c>
      <c r="O3" s="145"/>
      <c r="P3" s="145"/>
      <c r="Q3" s="145"/>
      <c r="R3" s="145"/>
      <c r="S3" s="145"/>
      <c r="T3" s="142"/>
      <c r="Z3" s="141" t="s">
        <v>45</v>
      </c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2"/>
    </row>
    <row r="4" spans="2:37" x14ac:dyDescent="0.3">
      <c r="B4" s="1" t="s">
        <v>143</v>
      </c>
      <c r="C4" s="133">
        <f>Q5+Q6+Q7</f>
        <v>1000</v>
      </c>
      <c r="D4" s="133">
        <f>(O22*$Q$5)+(O23*$Q$6)+(O24*$Q$7)</f>
        <v>243000</v>
      </c>
      <c r="E4" s="133">
        <f>(P22*$Q$5)+(P23*$Q$6)+(P24*$Q$7)</f>
        <v>270900</v>
      </c>
      <c r="F4" s="133">
        <f t="shared" ref="F4:L4" si="0">(Q22*$Q$5)+(Q23*$Q$6)+(Q24*$Q$7)</f>
        <v>296099.99999999994</v>
      </c>
      <c r="G4" s="133">
        <f t="shared" si="0"/>
        <v>323999.99999999994</v>
      </c>
      <c r="H4" s="133">
        <f t="shared" si="0"/>
        <v>347999.99999999994</v>
      </c>
      <c r="I4" s="133">
        <f t="shared" si="0"/>
        <v>369699.99999999994</v>
      </c>
      <c r="J4" s="133">
        <f t="shared" si="0"/>
        <v>390700</v>
      </c>
      <c r="K4" s="133">
        <f t="shared" si="0"/>
        <v>412400</v>
      </c>
      <c r="L4" s="133">
        <f t="shared" si="0"/>
        <v>295769.99999999994</v>
      </c>
      <c r="N4" s="3"/>
      <c r="O4" s="4" t="s">
        <v>10</v>
      </c>
      <c r="P4" s="4" t="s">
        <v>12</v>
      </c>
      <c r="Q4" s="4" t="s">
        <v>6</v>
      </c>
      <c r="R4" s="4" t="s">
        <v>7</v>
      </c>
      <c r="S4" s="4" t="s">
        <v>8</v>
      </c>
      <c r="T4" s="5" t="s">
        <v>9</v>
      </c>
      <c r="Z4" s="3"/>
      <c r="AA4" s="4" t="s">
        <v>13</v>
      </c>
      <c r="AB4" s="4" t="s">
        <v>16</v>
      </c>
      <c r="AC4" s="4" t="s">
        <v>17</v>
      </c>
      <c r="AD4" s="4" t="s">
        <v>18</v>
      </c>
      <c r="AE4" s="4" t="s">
        <v>19</v>
      </c>
      <c r="AF4" s="4" t="s">
        <v>20</v>
      </c>
      <c r="AG4" s="4" t="s">
        <v>27</v>
      </c>
      <c r="AH4" s="4" t="s">
        <v>28</v>
      </c>
      <c r="AI4" s="4" t="s">
        <v>31</v>
      </c>
      <c r="AJ4" s="4" t="s">
        <v>43</v>
      </c>
      <c r="AK4" s="12" t="s">
        <v>44</v>
      </c>
    </row>
    <row r="5" spans="2:37" x14ac:dyDescent="0.3">
      <c r="B5" s="1" t="s">
        <v>2</v>
      </c>
      <c r="C5" s="2"/>
      <c r="D5" s="18">
        <f>(D4/450)/$C$2</f>
        <v>1.8</v>
      </c>
      <c r="E5" s="18">
        <f t="shared" ref="E5:L5" si="1">(E4/450)/$C$2</f>
        <v>2.0066666666666668</v>
      </c>
      <c r="F5" s="18">
        <f t="shared" si="1"/>
        <v>2.1933333333333329</v>
      </c>
      <c r="G5" s="18">
        <f t="shared" si="1"/>
        <v>2.3999999999999995</v>
      </c>
      <c r="H5" s="18">
        <f t="shared" si="1"/>
        <v>2.5777777777777775</v>
      </c>
      <c r="I5" s="18">
        <f t="shared" si="1"/>
        <v>2.7385185185185179</v>
      </c>
      <c r="J5" s="18">
        <f t="shared" si="1"/>
        <v>2.8940740740740738</v>
      </c>
      <c r="K5" s="18">
        <f t="shared" si="1"/>
        <v>3.0548148148148146</v>
      </c>
      <c r="L5" s="18">
        <f t="shared" si="1"/>
        <v>2.1908888888888884</v>
      </c>
      <c r="N5" s="3" t="s">
        <v>3</v>
      </c>
      <c r="O5" s="4" t="s">
        <v>11</v>
      </c>
      <c r="P5" s="4">
        <v>10</v>
      </c>
      <c r="Q5" s="4">
        <v>200</v>
      </c>
      <c r="R5" s="4">
        <v>210</v>
      </c>
      <c r="S5" s="6">
        <f>R5/30</f>
        <v>7</v>
      </c>
      <c r="T5" s="7">
        <f>410*S5</f>
        <v>2870</v>
      </c>
      <c r="Z5" s="3"/>
      <c r="AA5" s="4" t="s">
        <v>15</v>
      </c>
      <c r="AB5" s="4" t="s">
        <v>21</v>
      </c>
      <c r="AC5" s="4" t="s">
        <v>22</v>
      </c>
      <c r="AD5" s="4" t="s">
        <v>23</v>
      </c>
      <c r="AE5" s="4" t="s">
        <v>24</v>
      </c>
      <c r="AF5" s="4" t="s">
        <v>25</v>
      </c>
      <c r="AG5" s="4" t="s">
        <v>29</v>
      </c>
      <c r="AH5" s="4" t="s">
        <v>30</v>
      </c>
      <c r="AI5" s="4" t="s">
        <v>32</v>
      </c>
      <c r="AJ5" s="4" t="s">
        <v>34</v>
      </c>
      <c r="AK5" s="12" t="s">
        <v>35</v>
      </c>
    </row>
    <row r="6" spans="2:37" x14ac:dyDescent="0.3">
      <c r="N6" s="3" t="s">
        <v>4</v>
      </c>
      <c r="O6" s="4" t="s">
        <v>11</v>
      </c>
      <c r="P6" s="4">
        <v>12</v>
      </c>
      <c r="Q6" s="4">
        <v>500</v>
      </c>
      <c r="R6" s="4">
        <v>240</v>
      </c>
      <c r="S6" s="6">
        <f t="shared" ref="S6:S7" si="2">R6/30</f>
        <v>8</v>
      </c>
      <c r="T6" s="7">
        <f>400*S6</f>
        <v>3200</v>
      </c>
      <c r="Z6" s="3" t="s">
        <v>36</v>
      </c>
      <c r="AA6" s="4">
        <v>21</v>
      </c>
      <c r="AB6" s="4">
        <v>31</v>
      </c>
      <c r="AC6" s="4">
        <v>28</v>
      </c>
      <c r="AD6" s="4">
        <v>31</v>
      </c>
      <c r="AE6" s="4">
        <v>30</v>
      </c>
      <c r="AF6" s="4">
        <v>31</v>
      </c>
      <c r="AG6" s="4">
        <v>30</v>
      </c>
      <c r="AH6" s="4">
        <v>31</v>
      </c>
      <c r="AI6" s="4">
        <v>31</v>
      </c>
      <c r="AJ6" s="4">
        <v>30</v>
      </c>
      <c r="AK6" s="12">
        <v>31</v>
      </c>
    </row>
    <row r="7" spans="2:37" ht="15" thickBot="1" x14ac:dyDescent="0.35">
      <c r="N7" s="8" t="s">
        <v>5</v>
      </c>
      <c r="O7" s="9" t="s">
        <v>11</v>
      </c>
      <c r="P7" s="9">
        <v>14</v>
      </c>
      <c r="Q7" s="9">
        <v>300</v>
      </c>
      <c r="R7" s="9">
        <v>270</v>
      </c>
      <c r="S7" s="10">
        <f t="shared" si="2"/>
        <v>9</v>
      </c>
      <c r="T7" s="11">
        <f>390*S7</f>
        <v>3510</v>
      </c>
      <c r="Z7" s="3" t="s">
        <v>3</v>
      </c>
      <c r="AA7" s="6">
        <v>1</v>
      </c>
      <c r="AB7" s="6">
        <v>1.2</v>
      </c>
      <c r="AC7" s="6">
        <v>1.2</v>
      </c>
      <c r="AD7" s="6">
        <v>1.5</v>
      </c>
      <c r="AE7" s="6">
        <v>2</v>
      </c>
      <c r="AF7" s="6">
        <v>2.5</v>
      </c>
      <c r="AG7" s="6">
        <v>3.5</v>
      </c>
      <c r="AH7" s="6">
        <v>4.5</v>
      </c>
      <c r="AI7" s="6">
        <v>15</v>
      </c>
      <c r="AJ7" s="6">
        <v>15</v>
      </c>
      <c r="AK7" s="15">
        <v>15</v>
      </c>
    </row>
    <row r="8" spans="2:37" x14ac:dyDescent="0.3">
      <c r="Z8" s="3" t="s">
        <v>4</v>
      </c>
      <c r="AA8" s="6">
        <v>1</v>
      </c>
      <c r="AB8" s="6">
        <v>1.2</v>
      </c>
      <c r="AC8" s="6">
        <v>1.2</v>
      </c>
      <c r="AD8" s="6">
        <v>1.5</v>
      </c>
      <c r="AE8" s="6">
        <v>2</v>
      </c>
      <c r="AF8" s="6">
        <v>2.5</v>
      </c>
      <c r="AG8" s="6">
        <v>3.5</v>
      </c>
      <c r="AH8" s="6">
        <v>4.5</v>
      </c>
      <c r="AI8" s="6">
        <v>15</v>
      </c>
      <c r="AJ8" s="6">
        <v>15</v>
      </c>
      <c r="AK8" s="15">
        <v>15</v>
      </c>
    </row>
    <row r="9" spans="2:37" ht="15" thickBot="1" x14ac:dyDescent="0.35">
      <c r="Z9" s="8" t="s">
        <v>5</v>
      </c>
      <c r="AA9" s="10">
        <v>1</v>
      </c>
      <c r="AB9" s="10">
        <v>1.2</v>
      </c>
      <c r="AC9" s="10">
        <v>1.2</v>
      </c>
      <c r="AD9" s="10">
        <v>1.5</v>
      </c>
      <c r="AE9" s="10">
        <v>2</v>
      </c>
      <c r="AF9" s="10">
        <v>2.5</v>
      </c>
      <c r="AG9" s="10">
        <v>3.5</v>
      </c>
      <c r="AH9" s="10">
        <v>15</v>
      </c>
      <c r="AI9" s="10">
        <v>15</v>
      </c>
      <c r="AJ9" s="10">
        <v>15</v>
      </c>
      <c r="AK9" s="16"/>
    </row>
    <row r="10" spans="2:37" x14ac:dyDescent="0.3">
      <c r="N10" s="141" t="s">
        <v>41</v>
      </c>
      <c r="O10" s="145"/>
      <c r="P10" s="145"/>
      <c r="Q10" s="145"/>
      <c r="R10" s="145"/>
      <c r="S10" s="145"/>
      <c r="T10" s="145"/>
      <c r="U10" s="145"/>
      <c r="V10" s="142"/>
    </row>
    <row r="11" spans="2:37" ht="15" thickBot="1" x14ac:dyDescent="0.35">
      <c r="N11" s="3"/>
      <c r="O11" s="4" t="s">
        <v>13</v>
      </c>
      <c r="P11" s="4" t="s">
        <v>16</v>
      </c>
      <c r="Q11" s="4" t="s">
        <v>17</v>
      </c>
      <c r="R11" s="4" t="s">
        <v>18</v>
      </c>
      <c r="S11" s="4" t="s">
        <v>19</v>
      </c>
      <c r="T11" s="4" t="s">
        <v>20</v>
      </c>
      <c r="U11" s="4" t="s">
        <v>27</v>
      </c>
      <c r="V11" s="12" t="s">
        <v>28</v>
      </c>
      <c r="W11" s="2"/>
      <c r="X11" s="2"/>
    </row>
    <row r="12" spans="2:37" x14ac:dyDescent="0.3">
      <c r="N12" s="3"/>
      <c r="O12" s="4" t="s">
        <v>21</v>
      </c>
      <c r="P12" s="4" t="s">
        <v>22</v>
      </c>
      <c r="Q12" s="4" t="s">
        <v>23</v>
      </c>
      <c r="R12" s="4" t="s">
        <v>24</v>
      </c>
      <c r="S12" s="4" t="s">
        <v>25</v>
      </c>
      <c r="T12" s="4" t="s">
        <v>29</v>
      </c>
      <c r="U12" s="4" t="s">
        <v>30</v>
      </c>
      <c r="V12" s="4" t="s">
        <v>32</v>
      </c>
      <c r="W12" s="2"/>
      <c r="X12" s="2"/>
      <c r="Z12" s="141" t="s">
        <v>51</v>
      </c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2"/>
    </row>
    <row r="13" spans="2:37" x14ac:dyDescent="0.3">
      <c r="N13" s="3" t="s">
        <v>3</v>
      </c>
      <c r="O13" s="13">
        <v>0.9</v>
      </c>
      <c r="P13" s="13">
        <v>0.9</v>
      </c>
      <c r="Q13" s="13">
        <v>0.9</v>
      </c>
      <c r="R13" s="4">
        <v>0.8</v>
      </c>
      <c r="S13" s="4">
        <v>0.7</v>
      </c>
      <c r="T13" s="4">
        <v>0.7</v>
      </c>
      <c r="U13" s="4">
        <v>0.7</v>
      </c>
      <c r="V13" s="12">
        <v>0.7</v>
      </c>
      <c r="W13" s="2"/>
      <c r="X13" s="2"/>
      <c r="Z13" s="3"/>
      <c r="AA13" s="4" t="s">
        <v>13</v>
      </c>
      <c r="AB13" s="4" t="s">
        <v>16</v>
      </c>
      <c r="AC13" s="4" t="s">
        <v>17</v>
      </c>
      <c r="AD13" s="4" t="s">
        <v>18</v>
      </c>
      <c r="AE13" s="4" t="s">
        <v>19</v>
      </c>
      <c r="AF13" s="4" t="s">
        <v>20</v>
      </c>
      <c r="AG13" s="4" t="s">
        <v>27</v>
      </c>
      <c r="AH13" s="4" t="s">
        <v>28</v>
      </c>
      <c r="AI13" s="4" t="s">
        <v>31</v>
      </c>
      <c r="AJ13" s="4" t="s">
        <v>43</v>
      </c>
      <c r="AK13" s="12" t="s">
        <v>44</v>
      </c>
    </row>
    <row r="14" spans="2:37" x14ac:dyDescent="0.3">
      <c r="N14" s="3" t="s">
        <v>4</v>
      </c>
      <c r="O14" s="4">
        <v>0.9</v>
      </c>
      <c r="P14" s="4">
        <v>0.9</v>
      </c>
      <c r="Q14" s="4">
        <v>0.9</v>
      </c>
      <c r="R14" s="4">
        <v>0.8</v>
      </c>
      <c r="S14" s="4">
        <v>0.7</v>
      </c>
      <c r="T14" s="4">
        <v>0.7</v>
      </c>
      <c r="U14" s="4">
        <v>0.7</v>
      </c>
      <c r="V14" s="12">
        <v>0.7</v>
      </c>
      <c r="W14" s="2"/>
      <c r="X14" s="2"/>
      <c r="Z14" s="3"/>
      <c r="AA14" s="4" t="s">
        <v>15</v>
      </c>
      <c r="AB14" s="4" t="s">
        <v>21</v>
      </c>
      <c r="AC14" s="4" t="s">
        <v>22</v>
      </c>
      <c r="AD14" s="4" t="s">
        <v>23</v>
      </c>
      <c r="AE14" s="4" t="s">
        <v>24</v>
      </c>
      <c r="AF14" s="4" t="s">
        <v>25</v>
      </c>
      <c r="AG14" s="4" t="s">
        <v>29</v>
      </c>
      <c r="AH14" s="4" t="s">
        <v>30</v>
      </c>
      <c r="AI14" s="4" t="s">
        <v>32</v>
      </c>
      <c r="AJ14" s="4" t="s">
        <v>34</v>
      </c>
      <c r="AK14" s="12" t="s">
        <v>35</v>
      </c>
    </row>
    <row r="15" spans="2:37" ht="15" thickBot="1" x14ac:dyDescent="0.35">
      <c r="N15" s="8" t="s">
        <v>5</v>
      </c>
      <c r="O15" s="9">
        <v>0.9</v>
      </c>
      <c r="P15" s="9">
        <v>0.9</v>
      </c>
      <c r="Q15" s="9">
        <v>0.9</v>
      </c>
      <c r="R15" s="9">
        <v>0.8</v>
      </c>
      <c r="S15" s="9">
        <v>0.7</v>
      </c>
      <c r="T15" s="9">
        <v>0.7</v>
      </c>
      <c r="U15" s="9">
        <v>0.7</v>
      </c>
      <c r="V15" s="14">
        <v>0.7</v>
      </c>
      <c r="W15" s="2"/>
      <c r="X15" s="2"/>
      <c r="Z15" s="3" t="s">
        <v>36</v>
      </c>
      <c r="AA15" s="4">
        <v>21</v>
      </c>
      <c r="AB15" s="4">
        <v>31</v>
      </c>
      <c r="AC15" s="4">
        <v>28</v>
      </c>
      <c r="AD15" s="4">
        <v>31</v>
      </c>
      <c r="AE15" s="4">
        <v>30</v>
      </c>
      <c r="AF15" s="4">
        <v>31</v>
      </c>
      <c r="AG15" s="4">
        <v>30</v>
      </c>
      <c r="AH15" s="4">
        <v>31</v>
      </c>
      <c r="AI15" s="4">
        <v>31</v>
      </c>
      <c r="AJ15" s="4">
        <v>30</v>
      </c>
      <c r="AK15" s="12">
        <v>31</v>
      </c>
    </row>
    <row r="16" spans="2:37" x14ac:dyDescent="0.3">
      <c r="Z16" s="3" t="s">
        <v>3</v>
      </c>
      <c r="AA16" s="6">
        <f>AA7*AA6</f>
        <v>21</v>
      </c>
      <c r="AB16" s="6">
        <f t="shared" ref="AB16:AK16" si="3">AB7*AB6</f>
        <v>37.199999999999996</v>
      </c>
      <c r="AC16" s="6">
        <f t="shared" si="3"/>
        <v>33.6</v>
      </c>
      <c r="AD16" s="6">
        <f t="shared" si="3"/>
        <v>46.5</v>
      </c>
      <c r="AE16" s="6">
        <f t="shared" si="3"/>
        <v>60</v>
      </c>
      <c r="AF16" s="6">
        <f t="shared" si="3"/>
        <v>77.5</v>
      </c>
      <c r="AG16" s="6">
        <f t="shared" si="3"/>
        <v>105</v>
      </c>
      <c r="AH16" s="6">
        <f t="shared" si="3"/>
        <v>139.5</v>
      </c>
      <c r="AI16" s="6">
        <f t="shared" si="3"/>
        <v>465</v>
      </c>
      <c r="AJ16" s="6">
        <f t="shared" si="3"/>
        <v>450</v>
      </c>
      <c r="AK16" s="15">
        <f t="shared" si="3"/>
        <v>465</v>
      </c>
    </row>
    <row r="17" spans="14:37" ht="15" thickBot="1" x14ac:dyDescent="0.35">
      <c r="Z17" s="3" t="s">
        <v>4</v>
      </c>
      <c r="AA17" s="6">
        <f>AA8*AA6</f>
        <v>21</v>
      </c>
      <c r="AB17" s="6">
        <f t="shared" ref="AB17:AK17" si="4">AB8*AB6</f>
        <v>37.199999999999996</v>
      </c>
      <c r="AC17" s="6">
        <f t="shared" si="4"/>
        <v>33.6</v>
      </c>
      <c r="AD17" s="6">
        <f t="shared" si="4"/>
        <v>46.5</v>
      </c>
      <c r="AE17" s="6">
        <f t="shared" si="4"/>
        <v>60</v>
      </c>
      <c r="AF17" s="6">
        <f t="shared" si="4"/>
        <v>77.5</v>
      </c>
      <c r="AG17" s="6">
        <f t="shared" si="4"/>
        <v>105</v>
      </c>
      <c r="AH17" s="6">
        <f t="shared" si="4"/>
        <v>139.5</v>
      </c>
      <c r="AI17" s="6">
        <f t="shared" si="4"/>
        <v>465</v>
      </c>
      <c r="AJ17" s="6">
        <f t="shared" si="4"/>
        <v>450</v>
      </c>
      <c r="AK17" s="15">
        <f t="shared" si="4"/>
        <v>465</v>
      </c>
    </row>
    <row r="18" spans="14:37" ht="15" thickBot="1" x14ac:dyDescent="0.35">
      <c r="N18" s="141" t="s">
        <v>40</v>
      </c>
      <c r="O18" s="145"/>
      <c r="P18" s="145"/>
      <c r="Q18" s="145"/>
      <c r="R18" s="145"/>
      <c r="S18" s="145"/>
      <c r="T18" s="145"/>
      <c r="U18" s="145"/>
      <c r="V18" s="145"/>
      <c r="W18" s="142"/>
      <c r="X18" s="19"/>
      <c r="Z18" s="8" t="s">
        <v>5</v>
      </c>
      <c r="AA18" s="10">
        <f>AA9*AA6</f>
        <v>21</v>
      </c>
      <c r="AB18" s="10">
        <f t="shared" ref="AB18:AJ18" si="5">AB9*AB6</f>
        <v>37.199999999999996</v>
      </c>
      <c r="AC18" s="10">
        <f t="shared" si="5"/>
        <v>33.6</v>
      </c>
      <c r="AD18" s="10">
        <f t="shared" si="5"/>
        <v>46.5</v>
      </c>
      <c r="AE18" s="10">
        <f t="shared" si="5"/>
        <v>60</v>
      </c>
      <c r="AF18" s="10">
        <f t="shared" si="5"/>
        <v>77.5</v>
      </c>
      <c r="AG18" s="10">
        <f t="shared" si="5"/>
        <v>105</v>
      </c>
      <c r="AH18" s="10">
        <f t="shared" si="5"/>
        <v>465</v>
      </c>
      <c r="AI18" s="10">
        <f t="shared" si="5"/>
        <v>465</v>
      </c>
      <c r="AJ18" s="10">
        <f t="shared" si="5"/>
        <v>450</v>
      </c>
      <c r="AK18" s="16"/>
    </row>
    <row r="19" spans="14:37" x14ac:dyDescent="0.3">
      <c r="N19" s="3"/>
      <c r="O19" s="4" t="s">
        <v>14</v>
      </c>
      <c r="P19" s="4" t="s">
        <v>13</v>
      </c>
      <c r="Q19" s="4" t="s">
        <v>16</v>
      </c>
      <c r="R19" s="4" t="s">
        <v>17</v>
      </c>
      <c r="S19" s="4" t="s">
        <v>18</v>
      </c>
      <c r="T19" s="4" t="s">
        <v>19</v>
      </c>
      <c r="U19" s="4" t="s">
        <v>20</v>
      </c>
      <c r="V19" s="4" t="s">
        <v>27</v>
      </c>
      <c r="W19" s="12" t="s">
        <v>28</v>
      </c>
      <c r="X19" s="2"/>
    </row>
    <row r="20" spans="14:37" ht="15" thickBot="1" x14ac:dyDescent="0.35">
      <c r="N20" s="3"/>
      <c r="O20" s="4" t="s">
        <v>26</v>
      </c>
      <c r="P20" s="4" t="s">
        <v>21</v>
      </c>
      <c r="Q20" s="4" t="s">
        <v>22</v>
      </c>
      <c r="R20" s="4" t="s">
        <v>23</v>
      </c>
      <c r="S20" s="4" t="s">
        <v>24</v>
      </c>
      <c r="T20" s="4" t="s">
        <v>25</v>
      </c>
      <c r="U20" s="4" t="s">
        <v>29</v>
      </c>
      <c r="V20" s="4" t="s">
        <v>30</v>
      </c>
      <c r="W20" s="4" t="s">
        <v>32</v>
      </c>
      <c r="X20" s="2"/>
    </row>
    <row r="21" spans="14:37" x14ac:dyDescent="0.3">
      <c r="N21" s="3" t="s">
        <v>36</v>
      </c>
      <c r="O21" s="4">
        <v>0</v>
      </c>
      <c r="P21" s="4">
        <v>31</v>
      </c>
      <c r="Q21" s="4">
        <v>28</v>
      </c>
      <c r="R21" s="4">
        <v>31</v>
      </c>
      <c r="S21" s="4">
        <v>30</v>
      </c>
      <c r="T21" s="4">
        <v>31</v>
      </c>
      <c r="U21" s="4">
        <v>30</v>
      </c>
      <c r="V21" s="4">
        <v>31</v>
      </c>
      <c r="W21" s="12">
        <v>31</v>
      </c>
      <c r="X21" s="2"/>
      <c r="Z21" s="141" t="s">
        <v>52</v>
      </c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2"/>
    </row>
    <row r="22" spans="14:37" x14ac:dyDescent="0.3">
      <c r="N22" s="3" t="s">
        <v>3</v>
      </c>
      <c r="O22" s="4">
        <f>R5</f>
        <v>210</v>
      </c>
      <c r="P22" s="4">
        <f>(O13*P21)+O22</f>
        <v>237.9</v>
      </c>
      <c r="Q22" s="4">
        <f>(P13*Q21)+P22</f>
        <v>263.10000000000002</v>
      </c>
      <c r="R22" s="4">
        <f t="shared" ref="R22:W22" si="6">(Q13*R21)+Q22</f>
        <v>291</v>
      </c>
      <c r="S22" s="4">
        <f t="shared" si="6"/>
        <v>315</v>
      </c>
      <c r="T22" s="4">
        <f t="shared" si="6"/>
        <v>336.7</v>
      </c>
      <c r="U22" s="4">
        <f t="shared" si="6"/>
        <v>357.7</v>
      </c>
      <c r="V22" s="4">
        <f t="shared" si="6"/>
        <v>379.4</v>
      </c>
      <c r="W22" s="12">
        <f t="shared" si="6"/>
        <v>401.09999999999997</v>
      </c>
      <c r="X22" s="2"/>
      <c r="Z22" s="3"/>
      <c r="AA22" s="4" t="s">
        <v>13</v>
      </c>
      <c r="AB22" s="4" t="s">
        <v>16</v>
      </c>
      <c r="AC22" s="4" t="s">
        <v>17</v>
      </c>
      <c r="AD22" s="4" t="s">
        <v>18</v>
      </c>
      <c r="AE22" s="4" t="s">
        <v>19</v>
      </c>
      <c r="AF22" s="4" t="s">
        <v>20</v>
      </c>
      <c r="AG22" s="4" t="s">
        <v>27</v>
      </c>
      <c r="AH22" s="4" t="s">
        <v>28</v>
      </c>
      <c r="AI22" s="4" t="s">
        <v>31</v>
      </c>
      <c r="AJ22" s="4" t="s">
        <v>43</v>
      </c>
      <c r="AK22" s="12" t="s">
        <v>44</v>
      </c>
    </row>
    <row r="23" spans="14:37" x14ac:dyDescent="0.3">
      <c r="N23" s="3" t="s">
        <v>4</v>
      </c>
      <c r="O23" s="4">
        <f t="shared" ref="O23:O24" si="7">R6</f>
        <v>240</v>
      </c>
      <c r="P23" s="4">
        <f>(O14*P21)+O23</f>
        <v>267.89999999999998</v>
      </c>
      <c r="Q23" s="4">
        <f t="shared" ref="Q23:W23" si="8">(P14*Q21)+P23</f>
        <v>293.09999999999997</v>
      </c>
      <c r="R23" s="4">
        <f t="shared" si="8"/>
        <v>320.99999999999994</v>
      </c>
      <c r="S23" s="4">
        <f t="shared" si="8"/>
        <v>344.99999999999994</v>
      </c>
      <c r="T23" s="4">
        <f t="shared" si="8"/>
        <v>366.69999999999993</v>
      </c>
      <c r="U23" s="4">
        <f t="shared" si="8"/>
        <v>387.69999999999993</v>
      </c>
      <c r="V23" s="4">
        <f t="shared" si="8"/>
        <v>409.39999999999992</v>
      </c>
      <c r="W23" s="12">
        <f t="shared" si="8"/>
        <v>431.09999999999991</v>
      </c>
      <c r="X23" s="2"/>
      <c r="Z23" s="3"/>
      <c r="AA23" s="4" t="s">
        <v>15</v>
      </c>
      <c r="AB23" s="4" t="s">
        <v>21</v>
      </c>
      <c r="AC23" s="4" t="s">
        <v>22</v>
      </c>
      <c r="AD23" s="4" t="s">
        <v>23</v>
      </c>
      <c r="AE23" s="4" t="s">
        <v>24</v>
      </c>
      <c r="AF23" s="4" t="s">
        <v>25</v>
      </c>
      <c r="AG23" s="4" t="s">
        <v>29</v>
      </c>
      <c r="AH23" s="4" t="s">
        <v>30</v>
      </c>
      <c r="AI23" s="4" t="s">
        <v>32</v>
      </c>
      <c r="AJ23" s="4" t="s">
        <v>34</v>
      </c>
      <c r="AK23" s="12" t="s">
        <v>35</v>
      </c>
    </row>
    <row r="24" spans="14:37" ht="15" thickBot="1" x14ac:dyDescent="0.35">
      <c r="N24" s="8" t="s">
        <v>5</v>
      </c>
      <c r="O24" s="9">
        <f t="shared" si="7"/>
        <v>270</v>
      </c>
      <c r="P24" s="9">
        <f t="shared" ref="P24:V24" si="9">(O15*P21)+O24</f>
        <v>297.89999999999998</v>
      </c>
      <c r="Q24" s="9">
        <f t="shared" si="9"/>
        <v>323.09999999999997</v>
      </c>
      <c r="R24" s="9">
        <f t="shared" si="9"/>
        <v>350.99999999999994</v>
      </c>
      <c r="S24" s="9">
        <f t="shared" si="9"/>
        <v>374.99999999999994</v>
      </c>
      <c r="T24" s="9">
        <f t="shared" si="9"/>
        <v>396.69999999999993</v>
      </c>
      <c r="U24" s="9">
        <f t="shared" si="9"/>
        <v>417.69999999999993</v>
      </c>
      <c r="V24" s="9">
        <f t="shared" si="9"/>
        <v>439.39999999999992</v>
      </c>
      <c r="W24" s="14"/>
      <c r="X24" s="2"/>
      <c r="Z24" s="3" t="s">
        <v>36</v>
      </c>
      <c r="AA24" s="4">
        <v>21</v>
      </c>
      <c r="AB24" s="4">
        <v>31</v>
      </c>
      <c r="AC24" s="4">
        <v>28</v>
      </c>
      <c r="AD24" s="4">
        <v>31</v>
      </c>
      <c r="AE24" s="4">
        <v>30</v>
      </c>
      <c r="AF24" s="4">
        <v>31</v>
      </c>
      <c r="AG24" s="4">
        <v>30</v>
      </c>
      <c r="AH24" s="4">
        <v>31</v>
      </c>
      <c r="AI24" s="4">
        <v>31</v>
      </c>
      <c r="AJ24" s="4">
        <v>30</v>
      </c>
      <c r="AK24" s="12">
        <v>31</v>
      </c>
    </row>
    <row r="25" spans="14:37" x14ac:dyDescent="0.3">
      <c r="Z25" s="3" t="s">
        <v>3</v>
      </c>
      <c r="AA25" s="20">
        <f>AA16*$Q$5</f>
        <v>4200</v>
      </c>
      <c r="AB25" s="20">
        <f t="shared" ref="AB25:AK25" si="10">AB16*$Q$5</f>
        <v>7439.9999999999991</v>
      </c>
      <c r="AC25" s="20">
        <f t="shared" si="10"/>
        <v>6720</v>
      </c>
      <c r="AD25" s="20">
        <f t="shared" si="10"/>
        <v>9300</v>
      </c>
      <c r="AE25" s="20">
        <f t="shared" si="10"/>
        <v>12000</v>
      </c>
      <c r="AF25" s="20">
        <f t="shared" si="10"/>
        <v>15500</v>
      </c>
      <c r="AG25" s="20">
        <f t="shared" si="10"/>
        <v>21000</v>
      </c>
      <c r="AH25" s="20">
        <f t="shared" si="10"/>
        <v>27900</v>
      </c>
      <c r="AI25" s="20">
        <f t="shared" si="10"/>
        <v>93000</v>
      </c>
      <c r="AJ25" s="20">
        <f t="shared" si="10"/>
        <v>90000</v>
      </c>
      <c r="AK25" s="21">
        <f t="shared" si="10"/>
        <v>93000</v>
      </c>
    </row>
    <row r="26" spans="14:37" ht="15" thickBot="1" x14ac:dyDescent="0.35">
      <c r="Z26" s="3" t="s">
        <v>4</v>
      </c>
      <c r="AA26" s="20">
        <f>AA17*$Q$6</f>
        <v>10500</v>
      </c>
      <c r="AB26" s="20">
        <f t="shared" ref="AB26:AK26" si="11">AB17*$Q$6</f>
        <v>18599.999999999996</v>
      </c>
      <c r="AC26" s="20">
        <f t="shared" si="11"/>
        <v>16800</v>
      </c>
      <c r="AD26" s="20">
        <f t="shared" si="11"/>
        <v>23250</v>
      </c>
      <c r="AE26" s="20">
        <f t="shared" si="11"/>
        <v>30000</v>
      </c>
      <c r="AF26" s="20">
        <f t="shared" si="11"/>
        <v>38750</v>
      </c>
      <c r="AG26" s="20">
        <f t="shared" si="11"/>
        <v>52500</v>
      </c>
      <c r="AH26" s="20">
        <f t="shared" si="11"/>
        <v>69750</v>
      </c>
      <c r="AI26" s="20">
        <f t="shared" si="11"/>
        <v>232500</v>
      </c>
      <c r="AJ26" s="20">
        <f t="shared" si="11"/>
        <v>225000</v>
      </c>
      <c r="AK26" s="21">
        <f t="shared" si="11"/>
        <v>232500</v>
      </c>
    </row>
    <row r="27" spans="14:37" ht="15" thickBot="1" x14ac:dyDescent="0.35">
      <c r="N27" s="141" t="s">
        <v>50</v>
      </c>
      <c r="O27" s="145"/>
      <c r="P27" s="145"/>
      <c r="Q27" s="145"/>
      <c r="R27" s="145"/>
      <c r="S27" s="145"/>
      <c r="T27" s="145"/>
      <c r="U27" s="145"/>
      <c r="V27" s="145"/>
      <c r="W27" s="142"/>
      <c r="X27" s="19"/>
      <c r="Z27" s="8" t="s">
        <v>5</v>
      </c>
      <c r="AA27" s="22">
        <f>AA18*$Q$7</f>
        <v>6300</v>
      </c>
      <c r="AB27" s="22">
        <f t="shared" ref="AB27:AJ27" si="12">AB18*$Q$7</f>
        <v>11159.999999999998</v>
      </c>
      <c r="AC27" s="22">
        <f t="shared" si="12"/>
        <v>10080</v>
      </c>
      <c r="AD27" s="22">
        <f t="shared" si="12"/>
        <v>13950</v>
      </c>
      <c r="AE27" s="22">
        <f t="shared" si="12"/>
        <v>18000</v>
      </c>
      <c r="AF27" s="22">
        <f t="shared" si="12"/>
        <v>23250</v>
      </c>
      <c r="AG27" s="22">
        <f t="shared" si="12"/>
        <v>31500</v>
      </c>
      <c r="AH27" s="22">
        <f t="shared" si="12"/>
        <v>139500</v>
      </c>
      <c r="AI27" s="22">
        <f t="shared" si="12"/>
        <v>139500</v>
      </c>
      <c r="AJ27" s="22">
        <f t="shared" si="12"/>
        <v>135000</v>
      </c>
      <c r="AK27" s="16"/>
    </row>
    <row r="28" spans="14:37" ht="15" thickBot="1" x14ac:dyDescent="0.35">
      <c r="N28" s="3"/>
      <c r="O28" s="4" t="s">
        <v>14</v>
      </c>
      <c r="P28" s="4" t="s">
        <v>13</v>
      </c>
      <c r="Q28" s="4" t="s">
        <v>16</v>
      </c>
      <c r="R28" s="4" t="s">
        <v>17</v>
      </c>
      <c r="S28" s="4" t="s">
        <v>18</v>
      </c>
      <c r="T28" s="4" t="s">
        <v>19</v>
      </c>
      <c r="U28" s="4" t="s">
        <v>20</v>
      </c>
      <c r="V28" s="4" t="s">
        <v>27</v>
      </c>
      <c r="W28" s="12" t="s">
        <v>28</v>
      </c>
      <c r="X28" s="2"/>
      <c r="Z28" s="33" t="s">
        <v>84</v>
      </c>
      <c r="AA28" s="34">
        <f>AA25+AA26+AA27</f>
        <v>21000</v>
      </c>
      <c r="AB28" s="34">
        <f t="shared" ref="AB28:AK28" si="13">AB25+AB26+AB27</f>
        <v>37199.999999999993</v>
      </c>
      <c r="AC28" s="34">
        <f t="shared" si="13"/>
        <v>33600</v>
      </c>
      <c r="AD28" s="34">
        <f t="shared" si="13"/>
        <v>46500</v>
      </c>
      <c r="AE28" s="34">
        <f t="shared" si="13"/>
        <v>60000</v>
      </c>
      <c r="AF28" s="34">
        <f t="shared" si="13"/>
        <v>77500</v>
      </c>
      <c r="AG28" s="34">
        <f t="shared" si="13"/>
        <v>105000</v>
      </c>
      <c r="AH28" s="34">
        <f t="shared" si="13"/>
        <v>237150</v>
      </c>
      <c r="AI28" s="34">
        <f t="shared" si="13"/>
        <v>465000</v>
      </c>
      <c r="AJ28" s="34">
        <f t="shared" si="13"/>
        <v>450000</v>
      </c>
      <c r="AK28" s="35">
        <f t="shared" si="13"/>
        <v>325500</v>
      </c>
    </row>
    <row r="29" spans="14:37" x14ac:dyDescent="0.3">
      <c r="N29" s="3"/>
      <c r="O29" s="4" t="s">
        <v>26</v>
      </c>
      <c r="P29" s="4" t="s">
        <v>21</v>
      </c>
      <c r="Q29" s="4" t="s">
        <v>22</v>
      </c>
      <c r="R29" s="4" t="s">
        <v>23</v>
      </c>
      <c r="S29" s="4" t="s">
        <v>24</v>
      </c>
      <c r="T29" s="4" t="s">
        <v>25</v>
      </c>
      <c r="U29" s="4" t="s">
        <v>29</v>
      </c>
      <c r="V29" s="4" t="s">
        <v>30</v>
      </c>
      <c r="W29" s="4" t="s">
        <v>32</v>
      </c>
      <c r="X29" s="2"/>
    </row>
    <row r="30" spans="14:37" x14ac:dyDescent="0.3">
      <c r="N30" s="3" t="s">
        <v>3</v>
      </c>
      <c r="O30" s="4">
        <f>O22/30</f>
        <v>7</v>
      </c>
      <c r="P30" s="6">
        <f t="shared" ref="P30:W30" si="14">P22/30</f>
        <v>7.9300000000000006</v>
      </c>
      <c r="Q30" s="6">
        <f t="shared" si="14"/>
        <v>8.7700000000000014</v>
      </c>
      <c r="R30" s="6">
        <f t="shared" si="14"/>
        <v>9.6999999999999993</v>
      </c>
      <c r="S30" s="6">
        <f t="shared" si="14"/>
        <v>10.5</v>
      </c>
      <c r="T30" s="6">
        <f t="shared" si="14"/>
        <v>11.223333333333333</v>
      </c>
      <c r="U30" s="6">
        <f t="shared" si="14"/>
        <v>11.923333333333334</v>
      </c>
      <c r="V30" s="6">
        <f t="shared" si="14"/>
        <v>12.646666666666667</v>
      </c>
      <c r="W30" s="15">
        <f t="shared" si="14"/>
        <v>13.37</v>
      </c>
      <c r="X30" s="18"/>
    </row>
    <row r="31" spans="14:37" x14ac:dyDescent="0.3">
      <c r="N31" s="3" t="s">
        <v>4</v>
      </c>
      <c r="O31" s="4">
        <f>O23/30</f>
        <v>8</v>
      </c>
      <c r="P31" s="6">
        <f t="shared" ref="P31:W31" si="15">P23/30</f>
        <v>8.93</v>
      </c>
      <c r="Q31" s="6">
        <f t="shared" si="15"/>
        <v>9.77</v>
      </c>
      <c r="R31" s="6">
        <f t="shared" si="15"/>
        <v>10.699999999999998</v>
      </c>
      <c r="S31" s="6">
        <f t="shared" si="15"/>
        <v>11.499999999999998</v>
      </c>
      <c r="T31" s="6">
        <f t="shared" si="15"/>
        <v>12.223333333333331</v>
      </c>
      <c r="U31" s="6">
        <f t="shared" si="15"/>
        <v>12.92333333333333</v>
      </c>
      <c r="V31" s="6">
        <f t="shared" si="15"/>
        <v>13.646666666666665</v>
      </c>
      <c r="W31" s="15">
        <f t="shared" si="15"/>
        <v>14.369999999999997</v>
      </c>
      <c r="X31" s="18"/>
    </row>
    <row r="32" spans="14:37" ht="15" thickBot="1" x14ac:dyDescent="0.35">
      <c r="N32" s="8" t="s">
        <v>5</v>
      </c>
      <c r="O32" s="9">
        <f>O24/30</f>
        <v>9</v>
      </c>
      <c r="P32" s="10">
        <f t="shared" ref="P32:V32" si="16">P24/30</f>
        <v>9.93</v>
      </c>
      <c r="Q32" s="10">
        <f t="shared" si="16"/>
        <v>10.77</v>
      </c>
      <c r="R32" s="10">
        <f t="shared" si="16"/>
        <v>11.699999999999998</v>
      </c>
      <c r="S32" s="10">
        <f t="shared" si="16"/>
        <v>12.499999999999998</v>
      </c>
      <c r="T32" s="10">
        <f t="shared" si="16"/>
        <v>13.223333333333331</v>
      </c>
      <c r="U32" s="10">
        <f t="shared" si="16"/>
        <v>13.92333333333333</v>
      </c>
      <c r="V32" s="10">
        <f t="shared" si="16"/>
        <v>14.646666666666665</v>
      </c>
      <c r="W32" s="16"/>
      <c r="X32" s="18"/>
    </row>
    <row r="33" spans="14:24" x14ac:dyDescent="0.3"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4:24" ht="15" thickBot="1" x14ac:dyDescent="0.35"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4:24" x14ac:dyDescent="0.3">
      <c r="N35" s="141" t="s">
        <v>38</v>
      </c>
      <c r="O35" s="145"/>
      <c r="P35" s="145"/>
      <c r="Q35" s="145"/>
      <c r="R35" s="145"/>
      <c r="S35" s="142"/>
    </row>
    <row r="36" spans="14:24" x14ac:dyDescent="0.3">
      <c r="N36" s="139">
        <v>1.5</v>
      </c>
      <c r="O36" s="4" t="s">
        <v>14</v>
      </c>
      <c r="P36" s="4" t="s">
        <v>13</v>
      </c>
      <c r="Q36" s="4" t="s">
        <v>16</v>
      </c>
      <c r="R36" s="4" t="s">
        <v>17</v>
      </c>
      <c r="S36" s="12" t="s">
        <v>18</v>
      </c>
      <c r="T36" s="2"/>
      <c r="U36" s="2"/>
      <c r="V36" s="2"/>
      <c r="W36" s="2"/>
      <c r="X36" s="2"/>
    </row>
    <row r="37" spans="14:24" x14ac:dyDescent="0.3">
      <c r="N37" s="140"/>
      <c r="O37" s="4" t="s">
        <v>33</v>
      </c>
      <c r="P37" s="4" t="s">
        <v>46</v>
      </c>
      <c r="Q37" s="4" t="s">
        <v>47</v>
      </c>
      <c r="R37" s="4" t="s">
        <v>48</v>
      </c>
      <c r="S37" s="12" t="s">
        <v>49</v>
      </c>
      <c r="T37" s="2"/>
      <c r="U37" s="2"/>
      <c r="V37" s="2"/>
      <c r="W37" s="2"/>
      <c r="X37" s="2"/>
    </row>
    <row r="38" spans="14:24" x14ac:dyDescent="0.3">
      <c r="N38" s="17"/>
      <c r="O38" s="4"/>
      <c r="P38" s="4">
        <v>31</v>
      </c>
      <c r="Q38" s="4">
        <v>31</v>
      </c>
      <c r="R38" s="4">
        <v>30</v>
      </c>
      <c r="S38" s="12">
        <v>31</v>
      </c>
      <c r="T38" s="2"/>
      <c r="U38" s="2"/>
      <c r="V38" s="2"/>
      <c r="W38" s="2"/>
      <c r="X38" s="2"/>
    </row>
    <row r="39" spans="14:24" x14ac:dyDescent="0.3">
      <c r="N39" s="3" t="s">
        <v>5</v>
      </c>
      <c r="O39" s="4">
        <f>V24</f>
        <v>439.39999999999992</v>
      </c>
      <c r="P39" s="4">
        <f>(P38*$N$36)+O39</f>
        <v>485.89999999999992</v>
      </c>
      <c r="Q39" s="4">
        <f>(Q38*$N$36)+P39</f>
        <v>532.39999999999986</v>
      </c>
      <c r="R39" s="4">
        <f>(13*$N$36)+Q39</f>
        <v>551.89999999999986</v>
      </c>
      <c r="S39" s="12"/>
      <c r="T39" s="2"/>
      <c r="U39" s="2"/>
      <c r="V39" s="2"/>
      <c r="W39" s="2"/>
      <c r="X39" s="2"/>
    </row>
    <row r="40" spans="14:24" x14ac:dyDescent="0.3">
      <c r="N40" s="3" t="s">
        <v>4</v>
      </c>
      <c r="O40" s="4">
        <f>W23</f>
        <v>431.09999999999991</v>
      </c>
      <c r="P40" s="4"/>
      <c r="Q40" s="4">
        <f>(Q38*$N$36)+O40</f>
        <v>477.59999999999991</v>
      </c>
      <c r="R40" s="4">
        <f>(R38*$N$36)+Q40</f>
        <v>522.59999999999991</v>
      </c>
      <c r="S40" s="12">
        <f>(19*$N$36)+R40</f>
        <v>551.09999999999991</v>
      </c>
      <c r="T40" s="2"/>
      <c r="U40" s="2"/>
      <c r="V40" s="2"/>
      <c r="W40" s="2"/>
      <c r="X40" s="2"/>
    </row>
    <row r="41" spans="14:24" ht="15" thickBot="1" x14ac:dyDescent="0.35">
      <c r="N41" s="8" t="s">
        <v>3</v>
      </c>
      <c r="O41" s="9">
        <f>W22</f>
        <v>401.09999999999997</v>
      </c>
      <c r="P41" s="9"/>
      <c r="Q41" s="9">
        <f>(Q38*$N$36)+O41</f>
        <v>447.59999999999997</v>
      </c>
      <c r="R41" s="9">
        <f>(R38*$N$36)+Q41</f>
        <v>492.59999999999997</v>
      </c>
      <c r="S41" s="14">
        <f>(S38*$N$36)+R41</f>
        <v>539.09999999999991</v>
      </c>
      <c r="T41" s="2"/>
      <c r="U41" s="2"/>
      <c r="V41" s="2"/>
      <c r="W41" s="2"/>
      <c r="X41" s="2"/>
    </row>
    <row r="43" spans="14:24" ht="15" thickBot="1" x14ac:dyDescent="0.35"/>
    <row r="44" spans="14:24" x14ac:dyDescent="0.3">
      <c r="N44" s="141" t="s">
        <v>39</v>
      </c>
      <c r="O44" s="145"/>
      <c r="P44" s="145"/>
      <c r="Q44" s="145"/>
      <c r="R44" s="145"/>
      <c r="S44" s="142"/>
    </row>
    <row r="45" spans="14:24" x14ac:dyDescent="0.3">
      <c r="N45" s="139">
        <v>1.5</v>
      </c>
      <c r="O45" s="4" t="s">
        <v>14</v>
      </c>
      <c r="P45" s="4" t="s">
        <v>13</v>
      </c>
      <c r="Q45" s="4" t="s">
        <v>16</v>
      </c>
      <c r="R45" s="4" t="s">
        <v>17</v>
      </c>
      <c r="S45" s="12" t="s">
        <v>18</v>
      </c>
    </row>
    <row r="46" spans="14:24" x14ac:dyDescent="0.3">
      <c r="N46" s="140"/>
      <c r="O46" s="4" t="s">
        <v>33</v>
      </c>
      <c r="P46" s="4" t="s">
        <v>46</v>
      </c>
      <c r="Q46" s="4" t="s">
        <v>47</v>
      </c>
      <c r="R46" s="4" t="s">
        <v>48</v>
      </c>
      <c r="S46" s="12" t="s">
        <v>49</v>
      </c>
    </row>
    <row r="47" spans="14:24" x14ac:dyDescent="0.3">
      <c r="N47" s="17"/>
      <c r="O47" s="4"/>
      <c r="P47" s="4">
        <v>31</v>
      </c>
      <c r="Q47" s="4">
        <v>31</v>
      </c>
      <c r="R47" s="4">
        <v>30</v>
      </c>
      <c r="S47" s="12">
        <v>31</v>
      </c>
    </row>
    <row r="48" spans="14:24" x14ac:dyDescent="0.3">
      <c r="N48" s="3" t="s">
        <v>5</v>
      </c>
      <c r="O48" s="6">
        <f>O39/30</f>
        <v>14.646666666666665</v>
      </c>
      <c r="P48" s="6">
        <f t="shared" ref="P48:R48" si="17">P39/30</f>
        <v>16.196666666666665</v>
      </c>
      <c r="Q48" s="6">
        <f t="shared" si="17"/>
        <v>17.746666666666663</v>
      </c>
      <c r="R48" s="6">
        <f t="shared" si="17"/>
        <v>18.396666666666661</v>
      </c>
      <c r="S48" s="12"/>
    </row>
    <row r="49" spans="14:19" x14ac:dyDescent="0.3">
      <c r="N49" s="3" t="s">
        <v>4</v>
      </c>
      <c r="O49" s="6">
        <f t="shared" ref="O49:S50" si="18">O40/30</f>
        <v>14.369999999999997</v>
      </c>
      <c r="P49" s="6">
        <f t="shared" si="18"/>
        <v>0</v>
      </c>
      <c r="Q49" s="6">
        <f t="shared" si="18"/>
        <v>15.919999999999996</v>
      </c>
      <c r="R49" s="6">
        <f t="shared" si="18"/>
        <v>17.419999999999998</v>
      </c>
      <c r="S49" s="15">
        <f t="shared" si="18"/>
        <v>18.369999999999997</v>
      </c>
    </row>
    <row r="50" spans="14:19" ht="15" thickBot="1" x14ac:dyDescent="0.35">
      <c r="N50" s="8" t="s">
        <v>3</v>
      </c>
      <c r="O50" s="10">
        <f t="shared" si="18"/>
        <v>13.37</v>
      </c>
      <c r="P50" s="10">
        <f t="shared" si="18"/>
        <v>0</v>
      </c>
      <c r="Q50" s="10">
        <f t="shared" si="18"/>
        <v>14.919999999999998</v>
      </c>
      <c r="R50" s="10">
        <f t="shared" si="18"/>
        <v>16.419999999999998</v>
      </c>
      <c r="S50" s="16">
        <f t="shared" si="18"/>
        <v>17.969999999999995</v>
      </c>
    </row>
    <row r="51" spans="14:19" x14ac:dyDescent="0.3">
      <c r="O51" s="18"/>
      <c r="P51" s="18"/>
      <c r="Q51" s="18"/>
      <c r="R51" s="18"/>
      <c r="S51" s="18"/>
    </row>
    <row r="52" spans="14:19" ht="15" thickBot="1" x14ac:dyDescent="0.35"/>
    <row r="53" spans="14:19" x14ac:dyDescent="0.3">
      <c r="N53" s="141" t="s">
        <v>42</v>
      </c>
      <c r="O53" s="142"/>
      <c r="R53" s="141" t="s">
        <v>85</v>
      </c>
      <c r="S53" s="142"/>
    </row>
    <row r="54" spans="14:19" x14ac:dyDescent="0.3">
      <c r="N54" s="143"/>
      <c r="O54" s="144"/>
      <c r="R54" s="143"/>
      <c r="S54" s="144"/>
    </row>
    <row r="55" spans="14:19" x14ac:dyDescent="0.3">
      <c r="N55" s="3" t="s">
        <v>5</v>
      </c>
      <c r="O55" s="15">
        <f>(R39*55%)/15</f>
        <v>20.236333333333331</v>
      </c>
      <c r="R55" s="3" t="s">
        <v>5</v>
      </c>
      <c r="S55" s="21">
        <f>O55*Q7</f>
        <v>6070.9</v>
      </c>
    </row>
    <row r="56" spans="14:19" x14ac:dyDescent="0.3">
      <c r="N56" s="3" t="s">
        <v>4</v>
      </c>
      <c r="O56" s="15">
        <f>(S40*55%)/15</f>
        <v>20.206999999999997</v>
      </c>
      <c r="R56" s="3" t="s">
        <v>4</v>
      </c>
      <c r="S56" s="21">
        <f>O56*Q6</f>
        <v>10103.499999999998</v>
      </c>
    </row>
    <row r="57" spans="14:19" ht="15" thickBot="1" x14ac:dyDescent="0.35">
      <c r="N57" s="8" t="s">
        <v>3</v>
      </c>
      <c r="O57" s="16">
        <f>(S41*55%)/15</f>
        <v>19.766999999999999</v>
      </c>
      <c r="R57" s="8" t="s">
        <v>3</v>
      </c>
      <c r="S57" s="36">
        <f>O57*Produção!Q5</f>
        <v>3953.4</v>
      </c>
    </row>
    <row r="58" spans="14:19" ht="15" thickBot="1" x14ac:dyDescent="0.35">
      <c r="S58" s="37">
        <f>SUM(S55:S57)</f>
        <v>20127.8</v>
      </c>
    </row>
  </sheetData>
  <mergeCells count="13">
    <mergeCell ref="N45:N46"/>
    <mergeCell ref="N53:O54"/>
    <mergeCell ref="Z3:AK3"/>
    <mergeCell ref="Z12:AK12"/>
    <mergeCell ref="N27:W27"/>
    <mergeCell ref="Z21:AK21"/>
    <mergeCell ref="R53:S54"/>
    <mergeCell ref="N36:N37"/>
    <mergeCell ref="N35:S35"/>
    <mergeCell ref="N18:W18"/>
    <mergeCell ref="N10:V10"/>
    <mergeCell ref="N3:T3"/>
    <mergeCell ref="N44:S44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B91F-7EC5-4735-BB8E-CB7399F2FE6C}">
  <dimension ref="C1:X69"/>
  <sheetViews>
    <sheetView topLeftCell="A6" workbookViewId="0">
      <selection activeCell="N5" sqref="N5:R5"/>
    </sheetView>
  </sheetViews>
  <sheetFormatPr defaultColWidth="8.88671875" defaultRowHeight="14.4" x14ac:dyDescent="0.3"/>
  <cols>
    <col min="1" max="2" width="8.88671875" style="58"/>
    <col min="3" max="3" width="12.109375" style="58" bestFit="1" customWidth="1"/>
    <col min="4" max="4" width="13.88671875" style="58" bestFit="1" customWidth="1"/>
    <col min="5" max="5" width="13.44140625" style="58" bestFit="1" customWidth="1"/>
    <col min="6" max="6" width="8.88671875" style="58"/>
    <col min="7" max="7" width="25.5546875" style="58" bestFit="1" customWidth="1"/>
    <col min="8" max="8" width="19.109375" style="59" bestFit="1" customWidth="1"/>
    <col min="9" max="9" width="20" style="59" bestFit="1" customWidth="1"/>
    <col min="10" max="10" width="18.6640625" style="59" bestFit="1" customWidth="1"/>
    <col min="11" max="15" width="15.44140625" style="59" customWidth="1"/>
    <col min="16" max="16" width="15.33203125" style="59" bestFit="1" customWidth="1"/>
    <col min="17" max="18" width="15.44140625" style="59" customWidth="1"/>
    <col min="19" max="19" width="8.88671875" style="58"/>
    <col min="20" max="20" width="12.5546875" style="58" bestFit="1" customWidth="1"/>
    <col min="21" max="21" width="9.88671875" style="58" bestFit="1" customWidth="1"/>
    <col min="22" max="16384" width="8.88671875" style="58"/>
  </cols>
  <sheetData>
    <row r="1" spans="3:24" ht="15" thickBot="1" x14ac:dyDescent="0.35"/>
    <row r="2" spans="3:24" ht="28.8" x14ac:dyDescent="0.3">
      <c r="G2" s="60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3:24" ht="45" customHeight="1" thickBot="1" x14ac:dyDescent="0.35">
      <c r="G3" s="62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3:24" ht="21.75" customHeight="1" thickBot="1" x14ac:dyDescent="0.4">
      <c r="G4" s="64"/>
      <c r="H4" s="65" t="s">
        <v>121</v>
      </c>
      <c r="I4" s="65" t="s">
        <v>122</v>
      </c>
      <c r="J4" s="65" t="s">
        <v>123</v>
      </c>
      <c r="K4" s="65" t="s">
        <v>124</v>
      </c>
      <c r="L4" s="65" t="s">
        <v>125</v>
      </c>
      <c r="M4" s="65" t="s">
        <v>126</v>
      </c>
      <c r="N4" s="65" t="s">
        <v>127</v>
      </c>
      <c r="O4" s="65" t="s">
        <v>128</v>
      </c>
      <c r="P4" s="65" t="s">
        <v>129</v>
      </c>
      <c r="Q4" s="65" t="s">
        <v>130</v>
      </c>
      <c r="R4" s="65" t="s">
        <v>131</v>
      </c>
    </row>
    <row r="5" spans="3:24" ht="19.5" customHeight="1" thickBot="1" x14ac:dyDescent="0.35">
      <c r="G5" s="66"/>
      <c r="H5" s="111">
        <v>45992</v>
      </c>
      <c r="I5" s="111">
        <v>46023</v>
      </c>
      <c r="J5" s="111">
        <v>46054</v>
      </c>
      <c r="K5" s="111">
        <v>46082</v>
      </c>
      <c r="L5" s="111">
        <v>46113</v>
      </c>
      <c r="M5" s="111">
        <v>46143</v>
      </c>
      <c r="N5" s="111">
        <v>46174</v>
      </c>
      <c r="O5" s="111">
        <v>46204</v>
      </c>
      <c r="P5" s="111">
        <v>46235</v>
      </c>
      <c r="Q5" s="111">
        <v>46266</v>
      </c>
      <c r="R5" s="111">
        <v>46296</v>
      </c>
    </row>
    <row r="6" spans="3:24" ht="15" thickBot="1" x14ac:dyDescent="0.35">
      <c r="G6" s="98" t="s">
        <v>87</v>
      </c>
      <c r="H6" s="67">
        <f>Produção!$Q$6</f>
        <v>500</v>
      </c>
      <c r="I6" s="67">
        <f>Produção!$Q$6</f>
        <v>500</v>
      </c>
      <c r="J6" s="67">
        <f>Produção!$Q$6</f>
        <v>500</v>
      </c>
      <c r="K6" s="67">
        <f>Produção!$Q$6</f>
        <v>500</v>
      </c>
      <c r="L6" s="67">
        <f>Produção!$Q$6</f>
        <v>500</v>
      </c>
      <c r="M6" s="67">
        <f>Produção!$Q$6</f>
        <v>500</v>
      </c>
      <c r="N6" s="67">
        <f>Produção!$Q$6</f>
        <v>500</v>
      </c>
      <c r="O6" s="67">
        <f>Produção!$Q$6</f>
        <v>500</v>
      </c>
      <c r="P6" s="67">
        <f>Produção!$Q$6</f>
        <v>500</v>
      </c>
      <c r="Q6" s="67">
        <f>Produção!$Q$6</f>
        <v>500</v>
      </c>
      <c r="R6" s="67">
        <f>Produção!$Q$6</f>
        <v>500</v>
      </c>
      <c r="U6" s="68"/>
    </row>
    <row r="7" spans="3:24" x14ac:dyDescent="0.3">
      <c r="G7" s="9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U7" s="68"/>
    </row>
    <row r="8" spans="3:24" x14ac:dyDescent="0.3">
      <c r="G8" s="100" t="s">
        <v>33</v>
      </c>
      <c r="H8" s="70">
        <v>46001</v>
      </c>
      <c r="I8" s="70">
        <f>H9+1</f>
        <v>46023</v>
      </c>
      <c r="J8" s="70">
        <f>I9+1</f>
        <v>46054</v>
      </c>
      <c r="K8" s="70">
        <f>J9+1</f>
        <v>46082</v>
      </c>
      <c r="L8" s="70">
        <f t="shared" ref="L8:R8" si="0">K9+1</f>
        <v>46113</v>
      </c>
      <c r="M8" s="70">
        <f t="shared" si="0"/>
        <v>46143</v>
      </c>
      <c r="N8" s="70">
        <f t="shared" si="0"/>
        <v>46174</v>
      </c>
      <c r="O8" s="70">
        <f t="shared" si="0"/>
        <v>46204</v>
      </c>
      <c r="P8" s="70">
        <f t="shared" si="0"/>
        <v>46235</v>
      </c>
      <c r="Q8" s="70">
        <f t="shared" si="0"/>
        <v>46266</v>
      </c>
      <c r="R8" s="70">
        <f t="shared" si="0"/>
        <v>46296</v>
      </c>
      <c r="U8" s="68"/>
    </row>
    <row r="9" spans="3:24" x14ac:dyDescent="0.3">
      <c r="G9" s="100" t="s">
        <v>88</v>
      </c>
      <c r="H9" s="70">
        <v>46022</v>
      </c>
      <c r="I9" s="70">
        <v>46053</v>
      </c>
      <c r="J9" s="70">
        <v>46081</v>
      </c>
      <c r="K9" s="70">
        <v>46112</v>
      </c>
      <c r="L9" s="70">
        <v>46142</v>
      </c>
      <c r="M9" s="70">
        <v>46173</v>
      </c>
      <c r="N9" s="70">
        <v>46203</v>
      </c>
      <c r="O9" s="70">
        <v>46234</v>
      </c>
      <c r="P9" s="70">
        <v>46265</v>
      </c>
      <c r="Q9" s="70">
        <v>46295</v>
      </c>
      <c r="R9" s="70">
        <v>46326</v>
      </c>
      <c r="U9" s="68"/>
    </row>
    <row r="10" spans="3:24" x14ac:dyDescent="0.3">
      <c r="D10" s="68"/>
      <c r="E10" s="68"/>
      <c r="G10" s="101" t="s">
        <v>89</v>
      </c>
      <c r="H10" s="71">
        <f>H11/30</f>
        <v>8</v>
      </c>
      <c r="I10" s="71">
        <f>I11/30</f>
        <v>8.629999999999999</v>
      </c>
      <c r="J10" s="71">
        <f>J11/30</f>
        <v>9.5599999999999987</v>
      </c>
      <c r="K10" s="71">
        <f>K11/30</f>
        <v>10.399999999999999</v>
      </c>
      <c r="L10" s="71">
        <f>L11/30</f>
        <v>11.226666666666665</v>
      </c>
      <c r="M10" s="71"/>
      <c r="N10" s="71"/>
      <c r="O10" s="71"/>
      <c r="P10" s="71"/>
      <c r="Q10" s="71"/>
      <c r="R10" s="71"/>
      <c r="U10" s="2"/>
      <c r="V10" s="2"/>
      <c r="W10" s="59"/>
      <c r="X10" s="59"/>
    </row>
    <row r="11" spans="3:24" x14ac:dyDescent="0.3">
      <c r="C11" s="72"/>
      <c r="E11" s="73"/>
      <c r="G11" s="101" t="s">
        <v>90</v>
      </c>
      <c r="H11" s="102">
        <f>Produção!R6</f>
        <v>240</v>
      </c>
      <c r="I11" s="102">
        <f>H12</f>
        <v>258.89999999999998</v>
      </c>
      <c r="J11" s="102">
        <f t="shared" ref="J11:R11" si="1">I12</f>
        <v>286.79999999999995</v>
      </c>
      <c r="K11" s="102">
        <f t="shared" si="1"/>
        <v>311.99999999999994</v>
      </c>
      <c r="L11" s="102">
        <f t="shared" si="1"/>
        <v>336.79999999999995</v>
      </c>
      <c r="M11" s="102">
        <f t="shared" si="1"/>
        <v>357.79999999999995</v>
      </c>
      <c r="N11" s="102">
        <f t="shared" si="1"/>
        <v>379.49999999999994</v>
      </c>
      <c r="O11" s="102">
        <f t="shared" si="1"/>
        <v>400.49999999999994</v>
      </c>
      <c r="P11" s="102">
        <f t="shared" si="1"/>
        <v>422.19999999999993</v>
      </c>
      <c r="Q11" s="102">
        <f t="shared" si="1"/>
        <v>468.69999999999993</v>
      </c>
      <c r="R11" s="102">
        <f t="shared" si="1"/>
        <v>513.69999999999993</v>
      </c>
      <c r="U11" s="2"/>
      <c r="V11" s="2"/>
      <c r="W11" s="59"/>
      <c r="X11" s="59"/>
    </row>
    <row r="12" spans="3:24" x14ac:dyDescent="0.3">
      <c r="C12" s="72"/>
      <c r="D12" s="72"/>
      <c r="G12" s="101" t="s">
        <v>91</v>
      </c>
      <c r="H12" s="103">
        <f t="shared" ref="H12:R12" si="2">H11+H16</f>
        <v>258.89999999999998</v>
      </c>
      <c r="I12" s="103">
        <f t="shared" si="2"/>
        <v>286.79999999999995</v>
      </c>
      <c r="J12" s="103">
        <f t="shared" si="2"/>
        <v>311.99999999999994</v>
      </c>
      <c r="K12" s="103">
        <f t="shared" si="2"/>
        <v>336.79999999999995</v>
      </c>
      <c r="L12" s="103">
        <f t="shared" si="2"/>
        <v>357.79999999999995</v>
      </c>
      <c r="M12" s="103">
        <f t="shared" si="2"/>
        <v>379.49999999999994</v>
      </c>
      <c r="N12" s="103">
        <f t="shared" si="2"/>
        <v>400.49999999999994</v>
      </c>
      <c r="O12" s="103">
        <f t="shared" si="2"/>
        <v>422.19999999999993</v>
      </c>
      <c r="P12" s="103">
        <f t="shared" si="2"/>
        <v>468.69999999999993</v>
      </c>
      <c r="Q12" s="103">
        <f t="shared" si="2"/>
        <v>513.69999999999993</v>
      </c>
      <c r="R12" s="103">
        <f t="shared" si="2"/>
        <v>560.19999999999993</v>
      </c>
    </row>
    <row r="13" spans="3:24" x14ac:dyDescent="0.3">
      <c r="C13" s="72"/>
      <c r="D13" s="72"/>
      <c r="G13" s="101" t="s">
        <v>92</v>
      </c>
      <c r="H13" s="74">
        <f>H9-H8</f>
        <v>21</v>
      </c>
      <c r="I13" s="74">
        <f>(I9-I8)+1</f>
        <v>31</v>
      </c>
      <c r="J13" s="74">
        <f t="shared" ref="J13:R13" si="3">(J9-J8)+1</f>
        <v>28</v>
      </c>
      <c r="K13" s="74">
        <f t="shared" si="3"/>
        <v>31</v>
      </c>
      <c r="L13" s="74">
        <f t="shared" si="3"/>
        <v>30</v>
      </c>
      <c r="M13" s="74">
        <f t="shared" si="3"/>
        <v>31</v>
      </c>
      <c r="N13" s="74">
        <f t="shared" si="3"/>
        <v>30</v>
      </c>
      <c r="O13" s="74">
        <f t="shared" si="3"/>
        <v>31</v>
      </c>
      <c r="P13" s="74">
        <f t="shared" si="3"/>
        <v>31</v>
      </c>
      <c r="Q13" s="74">
        <f t="shared" si="3"/>
        <v>30</v>
      </c>
      <c r="R13" s="74">
        <f t="shared" si="3"/>
        <v>31</v>
      </c>
    </row>
    <row r="14" spans="3:24" x14ac:dyDescent="0.3">
      <c r="C14" s="72"/>
      <c r="D14" s="72"/>
      <c r="G14" s="114" t="s">
        <v>93</v>
      </c>
      <c r="H14" s="116">
        <f>Produção!AA8+((Fluxo!K14/30)/(Produção!$Q$5+Produção!$Q$6+Produção!$Q$7))</f>
        <v>3.0066666666666668</v>
      </c>
      <c r="I14" s="116">
        <f>Produção!AB8+((Fluxo!L14/30)/(Produção!$Q$5+Produção!$Q$6+Produção!$Q$7))</f>
        <v>3.206666666666667</v>
      </c>
      <c r="J14" s="116">
        <f>Produção!AC8+((Fluxo!M14/30)/(Produção!$Q$5+Produção!$Q$6+Produção!$Q$7))</f>
        <v>3.206666666666667</v>
      </c>
      <c r="K14" s="116">
        <f>Produção!AD8+((Fluxo!N14/30)/(Produção!$Q$5+Produção!$Q$6+Produção!$Q$7))</f>
        <v>3.5066666666666668</v>
      </c>
      <c r="L14" s="116">
        <f>Produção!AE8+((Fluxo!O14/30)/(Produção!$Q$5+Produção!$Q$6+Produção!$Q$7))</f>
        <v>4.0066666666666668</v>
      </c>
      <c r="M14" s="116">
        <f>Produção!AF8+((Fluxo!P14/30)/(Produção!$Q$5+Produção!$Q$6+Produção!$Q$7))</f>
        <v>4.5066666666666668</v>
      </c>
      <c r="N14" s="116">
        <f>Produção!AG8+((Fluxo!Q14/30)/(Produção!$Q$5+Produção!$Q$6+Produção!$Q$7))</f>
        <v>5.5066666666666668</v>
      </c>
      <c r="O14" s="116">
        <f>Produção!AH8+((Fluxo!R14/30)/(Produção!$Q$5+Produção!$Q$6+Produção!$Q$7))</f>
        <v>6.5066666666666668</v>
      </c>
      <c r="P14" s="116">
        <f>Produção!AI8+((Fluxo!R14/30)/(Produção!$Q$5+Produção!$Q$6+Produção!$Q$7))</f>
        <v>17.006666666666668</v>
      </c>
      <c r="Q14" s="116">
        <f>Produção!AJ8+((Fluxo!S14/30)/(Produção!$Q$5+Produção!$Q$6+Produção!$Q$7))</f>
        <v>17.006666666666668</v>
      </c>
      <c r="R14" s="116">
        <f>Produção!AK8+((Fluxo!T14/30)/(Produção!$Q$5+Produção!$Q$6+Produção!$Q$7))</f>
        <v>17.006666666666668</v>
      </c>
    </row>
    <row r="15" spans="3:24" x14ac:dyDescent="0.3">
      <c r="C15" s="80"/>
      <c r="D15" s="72"/>
      <c r="G15" s="114" t="s">
        <v>94</v>
      </c>
      <c r="H15" s="115">
        <f>Produção!O13</f>
        <v>0.9</v>
      </c>
      <c r="I15" s="115">
        <f>Produção!P13</f>
        <v>0.9</v>
      </c>
      <c r="J15" s="115">
        <f>Produção!Q13</f>
        <v>0.9</v>
      </c>
      <c r="K15" s="115">
        <f>Produção!R13</f>
        <v>0.8</v>
      </c>
      <c r="L15" s="115">
        <f>Produção!S13</f>
        <v>0.7</v>
      </c>
      <c r="M15" s="115">
        <f>Produção!T13</f>
        <v>0.7</v>
      </c>
      <c r="N15" s="115">
        <f>Produção!U13</f>
        <v>0.7</v>
      </c>
      <c r="O15" s="115">
        <f>Produção!V13</f>
        <v>0.7</v>
      </c>
      <c r="P15" s="115">
        <v>1.5</v>
      </c>
      <c r="Q15" s="115">
        <v>1.5</v>
      </c>
      <c r="R15" s="115">
        <v>1.5</v>
      </c>
    </row>
    <row r="16" spans="3:24" x14ac:dyDescent="0.3">
      <c r="D16" s="75"/>
      <c r="G16" s="101" t="s">
        <v>95</v>
      </c>
      <c r="H16" s="74">
        <f t="shared" ref="H16:R16" si="4">H15*H13</f>
        <v>18.900000000000002</v>
      </c>
      <c r="I16" s="74">
        <f t="shared" si="4"/>
        <v>27.900000000000002</v>
      </c>
      <c r="J16" s="74">
        <f t="shared" si="4"/>
        <v>25.2</v>
      </c>
      <c r="K16" s="74">
        <f t="shared" si="4"/>
        <v>24.8</v>
      </c>
      <c r="L16" s="74">
        <f t="shared" si="4"/>
        <v>21</v>
      </c>
      <c r="M16" s="74">
        <f t="shared" si="4"/>
        <v>21.7</v>
      </c>
      <c r="N16" s="74">
        <f t="shared" si="4"/>
        <v>21</v>
      </c>
      <c r="O16" s="74">
        <f t="shared" si="4"/>
        <v>21.7</v>
      </c>
      <c r="P16" s="74">
        <f t="shared" si="4"/>
        <v>46.5</v>
      </c>
      <c r="Q16" s="74">
        <f t="shared" si="4"/>
        <v>45</v>
      </c>
      <c r="R16" s="74">
        <f t="shared" si="4"/>
        <v>46.5</v>
      </c>
    </row>
    <row r="17" spans="3:20" x14ac:dyDescent="0.3">
      <c r="D17" s="76"/>
      <c r="E17" s="76"/>
      <c r="G17" s="101" t="s">
        <v>96</v>
      </c>
      <c r="H17" s="79">
        <f t="shared" ref="H17:R17" si="5">(H19+(H14*H13))/H22</f>
        <v>378.11587485515645</v>
      </c>
      <c r="I17" s="79">
        <f t="shared" si="5"/>
        <v>351.73082287308233</v>
      </c>
      <c r="J17" s="79">
        <f t="shared" si="5"/>
        <v>331.95512820512829</v>
      </c>
      <c r="K17" s="79">
        <f t="shared" si="5"/>
        <v>317.19477434679334</v>
      </c>
      <c r="L17" s="79">
        <f t="shared" si="5"/>
        <v>308.65623253214085</v>
      </c>
      <c r="M17" s="79">
        <f t="shared" si="5"/>
        <v>302.05111989459812</v>
      </c>
      <c r="N17" s="79">
        <f t="shared" si="5"/>
        <v>298.58776529338326</v>
      </c>
      <c r="O17" s="79">
        <f t="shared" si="5"/>
        <v>297.57366177167222</v>
      </c>
      <c r="P17" s="79">
        <f t="shared" si="5"/>
        <v>301.79603157670152</v>
      </c>
      <c r="Q17" s="79">
        <f t="shared" si="5"/>
        <v>305.15437025501262</v>
      </c>
      <c r="R17" s="79">
        <f t="shared" si="5"/>
        <v>280.0525786245172</v>
      </c>
    </row>
    <row r="18" spans="3:20" x14ac:dyDescent="0.3">
      <c r="D18" s="77"/>
      <c r="G18" s="101" t="s">
        <v>97</v>
      </c>
      <c r="H18" s="78">
        <f t="shared" ref="H18:R18" si="6">(H14*H6)*H13</f>
        <v>31570.000000000004</v>
      </c>
      <c r="I18" s="78">
        <f t="shared" si="6"/>
        <v>49703.333333333336</v>
      </c>
      <c r="J18" s="78">
        <f t="shared" si="6"/>
        <v>44893.333333333336</v>
      </c>
      <c r="K18" s="78">
        <f t="shared" si="6"/>
        <v>54353.333333333336</v>
      </c>
      <c r="L18" s="78">
        <f t="shared" si="6"/>
        <v>60100.000000000007</v>
      </c>
      <c r="M18" s="78">
        <f t="shared" si="6"/>
        <v>69853.333333333343</v>
      </c>
      <c r="N18" s="78">
        <f t="shared" si="6"/>
        <v>82600</v>
      </c>
      <c r="O18" s="78">
        <f t="shared" si="6"/>
        <v>100853.33333333334</v>
      </c>
      <c r="P18" s="78">
        <f t="shared" si="6"/>
        <v>263603.33333333337</v>
      </c>
      <c r="Q18" s="78">
        <f t="shared" si="6"/>
        <v>255100.00000000003</v>
      </c>
      <c r="R18" s="78">
        <f t="shared" si="6"/>
        <v>263603.33333333337</v>
      </c>
    </row>
    <row r="19" spans="3:20" x14ac:dyDescent="0.3">
      <c r="C19" s="72"/>
      <c r="G19" s="101" t="s">
        <v>98</v>
      </c>
      <c r="H19" s="78">
        <f>Produção!T6</f>
        <v>3200</v>
      </c>
      <c r="I19" s="78">
        <f>H28/I6</f>
        <v>3263.14</v>
      </c>
      <c r="J19" s="78">
        <f t="shared" ref="J19:R19" si="7">I28/J6</f>
        <v>3362.5466666666666</v>
      </c>
      <c r="K19" s="78">
        <f t="shared" si="7"/>
        <v>3452.333333333333</v>
      </c>
      <c r="L19" s="78">
        <f t="shared" si="7"/>
        <v>3561.0399999999995</v>
      </c>
      <c r="M19" s="78">
        <f t="shared" si="7"/>
        <v>3681.2399999999993</v>
      </c>
      <c r="N19" s="78">
        <f t="shared" si="7"/>
        <v>3820.9466666666663</v>
      </c>
      <c r="O19" s="78">
        <f t="shared" si="7"/>
        <v>3986.1466666666661</v>
      </c>
      <c r="P19" s="78">
        <f t="shared" si="7"/>
        <v>4187.8533333333326</v>
      </c>
      <c r="Q19" s="78">
        <f t="shared" si="7"/>
        <v>4715.0599999999995</v>
      </c>
      <c r="R19" s="78">
        <f t="shared" si="7"/>
        <v>5225.2599999999993</v>
      </c>
    </row>
    <row r="20" spans="3:20" x14ac:dyDescent="0.3">
      <c r="D20" s="68"/>
      <c r="E20" s="80"/>
      <c r="G20" s="101" t="s">
        <v>99</v>
      </c>
      <c r="H20" s="81">
        <v>0.5</v>
      </c>
      <c r="I20" s="81">
        <v>0.5</v>
      </c>
      <c r="J20" s="81">
        <v>0.5</v>
      </c>
      <c r="K20" s="81">
        <v>0.5</v>
      </c>
      <c r="L20" s="81">
        <v>0.5</v>
      </c>
      <c r="M20" s="81">
        <v>0.5</v>
      </c>
      <c r="N20" s="81">
        <v>0.5</v>
      </c>
      <c r="O20" s="81">
        <v>0.5</v>
      </c>
      <c r="P20" s="81">
        <v>0.5</v>
      </c>
      <c r="Q20" s="81">
        <v>0.5</v>
      </c>
      <c r="R20" s="81">
        <v>0.55000000000000004</v>
      </c>
    </row>
    <row r="21" spans="3:20" x14ac:dyDescent="0.3">
      <c r="C21" s="72"/>
      <c r="E21" s="80"/>
      <c r="G21" s="101" t="s">
        <v>100</v>
      </c>
      <c r="H21" s="71">
        <f t="shared" ref="H21:R21" si="8">(H16*H20)/15</f>
        <v>0.63000000000000012</v>
      </c>
      <c r="I21" s="71">
        <f t="shared" si="8"/>
        <v>0.93</v>
      </c>
      <c r="J21" s="71">
        <f t="shared" si="8"/>
        <v>0.84</v>
      </c>
      <c r="K21" s="71">
        <f>(K16*K20)/15</f>
        <v>0.82666666666666666</v>
      </c>
      <c r="L21" s="71">
        <f t="shared" si="8"/>
        <v>0.7</v>
      </c>
      <c r="M21" s="71">
        <f t="shared" si="8"/>
        <v>0.72333333333333327</v>
      </c>
      <c r="N21" s="71">
        <f t="shared" si="8"/>
        <v>0.7</v>
      </c>
      <c r="O21" s="71">
        <f t="shared" si="8"/>
        <v>0.72333333333333327</v>
      </c>
      <c r="P21" s="71">
        <f t="shared" si="8"/>
        <v>1.55</v>
      </c>
      <c r="Q21" s="71">
        <f t="shared" si="8"/>
        <v>1.5</v>
      </c>
      <c r="R21" s="71">
        <f t="shared" si="8"/>
        <v>1.7050000000000003</v>
      </c>
    </row>
    <row r="22" spans="3:20" x14ac:dyDescent="0.3">
      <c r="C22" s="72"/>
      <c r="D22" s="72"/>
      <c r="E22" s="80"/>
      <c r="G22" s="101" t="s">
        <v>101</v>
      </c>
      <c r="H22" s="71">
        <f t="shared" ref="H22:R22" si="9">(H12*H20)/15</f>
        <v>8.629999999999999</v>
      </c>
      <c r="I22" s="71">
        <f t="shared" si="9"/>
        <v>9.5599999999999987</v>
      </c>
      <c r="J22" s="71">
        <f t="shared" si="9"/>
        <v>10.399999999999999</v>
      </c>
      <c r="K22" s="71">
        <f>(K12*K20)/15</f>
        <v>11.226666666666665</v>
      </c>
      <c r="L22" s="71">
        <f t="shared" si="9"/>
        <v>11.926666666666666</v>
      </c>
      <c r="M22" s="71">
        <f t="shared" si="9"/>
        <v>12.649999999999999</v>
      </c>
      <c r="N22" s="71">
        <f t="shared" si="9"/>
        <v>13.349999999999998</v>
      </c>
      <c r="O22" s="71">
        <f t="shared" si="9"/>
        <v>14.073333333333331</v>
      </c>
      <c r="P22" s="71">
        <f t="shared" si="9"/>
        <v>15.623333333333331</v>
      </c>
      <c r="Q22" s="71">
        <f t="shared" si="9"/>
        <v>17.123333333333331</v>
      </c>
      <c r="R22" s="71">
        <f t="shared" si="9"/>
        <v>20.540666666666667</v>
      </c>
    </row>
    <row r="23" spans="3:20" x14ac:dyDescent="0.3">
      <c r="C23" s="72"/>
      <c r="D23" s="72"/>
      <c r="E23" s="80"/>
      <c r="F23" s="82"/>
      <c r="G23" s="101" t="s">
        <v>102</v>
      </c>
      <c r="H23" s="83">
        <v>0</v>
      </c>
      <c r="I23" s="83">
        <v>0</v>
      </c>
      <c r="J23" s="83">
        <v>0</v>
      </c>
      <c r="K23" s="83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  <c r="R23" s="83">
        <v>0</v>
      </c>
    </row>
    <row r="24" spans="3:20" x14ac:dyDescent="0.3">
      <c r="C24" s="72"/>
      <c r="D24" s="72"/>
      <c r="E24" s="80"/>
      <c r="F24" s="77"/>
      <c r="G24" s="101" t="s">
        <v>103</v>
      </c>
      <c r="H24" s="104">
        <f t="shared" ref="H24:R24" si="10">(H6-(H6*H23))*H22</f>
        <v>4314.9999999999991</v>
      </c>
      <c r="I24" s="104">
        <f t="shared" si="10"/>
        <v>4779.9999999999991</v>
      </c>
      <c r="J24" s="104">
        <f t="shared" si="10"/>
        <v>5199.9999999999991</v>
      </c>
      <c r="K24" s="104">
        <f t="shared" si="10"/>
        <v>5613.3333333333321</v>
      </c>
      <c r="L24" s="104">
        <f t="shared" si="10"/>
        <v>5963.333333333333</v>
      </c>
      <c r="M24" s="104">
        <f t="shared" si="10"/>
        <v>6324.9999999999991</v>
      </c>
      <c r="N24" s="104">
        <f t="shared" si="10"/>
        <v>6674.9999999999991</v>
      </c>
      <c r="O24" s="104">
        <f t="shared" si="10"/>
        <v>7036.6666666666652</v>
      </c>
      <c r="P24" s="104">
        <f t="shared" si="10"/>
        <v>7811.6666666666661</v>
      </c>
      <c r="Q24" s="104">
        <f t="shared" si="10"/>
        <v>8561.6666666666661</v>
      </c>
      <c r="R24" s="104">
        <f t="shared" si="10"/>
        <v>10270.333333333334</v>
      </c>
    </row>
    <row r="25" spans="3:20" x14ac:dyDescent="0.3">
      <c r="D25" s="72"/>
      <c r="E25" s="80"/>
      <c r="G25" s="101" t="s">
        <v>104</v>
      </c>
      <c r="H25" s="105">
        <f t="shared" ref="H25:R25" si="11">H6*H19</f>
        <v>1600000</v>
      </c>
      <c r="I25" s="105">
        <f t="shared" si="11"/>
        <v>1631570</v>
      </c>
      <c r="J25" s="105">
        <f t="shared" si="11"/>
        <v>1681273.3333333333</v>
      </c>
      <c r="K25" s="105">
        <f t="shared" si="11"/>
        <v>1726166.6666666665</v>
      </c>
      <c r="L25" s="105">
        <f t="shared" si="11"/>
        <v>1780519.9999999998</v>
      </c>
      <c r="M25" s="105">
        <f t="shared" si="11"/>
        <v>1840619.9999999998</v>
      </c>
      <c r="N25" s="105">
        <f t="shared" si="11"/>
        <v>1910473.333333333</v>
      </c>
      <c r="O25" s="105">
        <f t="shared" si="11"/>
        <v>1993073.333333333</v>
      </c>
      <c r="P25" s="105">
        <f t="shared" si="11"/>
        <v>2093926.6666666663</v>
      </c>
      <c r="Q25" s="105">
        <f t="shared" si="11"/>
        <v>2357529.9999999995</v>
      </c>
      <c r="R25" s="105">
        <f t="shared" si="11"/>
        <v>2612629.9999999995</v>
      </c>
    </row>
    <row r="26" spans="3:20" x14ac:dyDescent="0.3">
      <c r="C26" s="84"/>
      <c r="G26" s="101" t="s">
        <v>105</v>
      </c>
      <c r="H26" s="105">
        <f t="shared" ref="H26:R26" si="12">H6*H13*H14</f>
        <v>31570</v>
      </c>
      <c r="I26" s="105">
        <f t="shared" si="12"/>
        <v>49703.333333333336</v>
      </c>
      <c r="J26" s="105">
        <f t="shared" si="12"/>
        <v>44893.333333333336</v>
      </c>
      <c r="K26" s="105">
        <f t="shared" si="12"/>
        <v>54353.333333333336</v>
      </c>
      <c r="L26" s="105">
        <f t="shared" si="12"/>
        <v>60100</v>
      </c>
      <c r="M26" s="105">
        <f t="shared" si="12"/>
        <v>69853.333333333328</v>
      </c>
      <c r="N26" s="105">
        <f t="shared" si="12"/>
        <v>82600</v>
      </c>
      <c r="O26" s="105">
        <f t="shared" si="12"/>
        <v>100853.33333333333</v>
      </c>
      <c r="P26" s="105">
        <f t="shared" si="12"/>
        <v>263603.33333333337</v>
      </c>
      <c r="Q26" s="105">
        <f t="shared" si="12"/>
        <v>255100.00000000003</v>
      </c>
      <c r="R26" s="105">
        <f t="shared" si="12"/>
        <v>263603.33333333337</v>
      </c>
    </row>
    <row r="27" spans="3:20" x14ac:dyDescent="0.3">
      <c r="C27" s="72"/>
      <c r="G27" s="101" t="s">
        <v>106</v>
      </c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</row>
    <row r="28" spans="3:20" x14ac:dyDescent="0.3">
      <c r="C28" s="72"/>
      <c r="D28" s="72"/>
      <c r="E28" s="80"/>
      <c r="G28" s="101" t="s">
        <v>107</v>
      </c>
      <c r="H28" s="105">
        <f t="shared" ref="H28:R28" si="13">H25+H26+H27</f>
        <v>1631570</v>
      </c>
      <c r="I28" s="105">
        <f t="shared" si="13"/>
        <v>1681273.3333333333</v>
      </c>
      <c r="J28" s="105">
        <f t="shared" si="13"/>
        <v>1726166.6666666665</v>
      </c>
      <c r="K28" s="105">
        <f t="shared" si="13"/>
        <v>1780519.9999999998</v>
      </c>
      <c r="L28" s="105">
        <f t="shared" si="13"/>
        <v>1840619.9999999998</v>
      </c>
      <c r="M28" s="105">
        <f t="shared" si="13"/>
        <v>1910473.333333333</v>
      </c>
      <c r="N28" s="105">
        <f t="shared" si="13"/>
        <v>1993073.333333333</v>
      </c>
      <c r="O28" s="105">
        <f t="shared" si="13"/>
        <v>2093926.6666666663</v>
      </c>
      <c r="P28" s="105">
        <f t="shared" si="13"/>
        <v>2357529.9999999995</v>
      </c>
      <c r="Q28" s="105">
        <f t="shared" si="13"/>
        <v>2612629.9999999995</v>
      </c>
      <c r="R28" s="105">
        <f t="shared" si="13"/>
        <v>2876233.333333333</v>
      </c>
    </row>
    <row r="29" spans="3:20" ht="16.2" thickBot="1" x14ac:dyDescent="0.35">
      <c r="C29" s="72"/>
      <c r="D29" s="72"/>
      <c r="E29" s="80"/>
      <c r="G29" s="112" t="s">
        <v>108</v>
      </c>
      <c r="H29" s="113">
        <f>(H28/H24)</f>
        <v>378.11587485515651</v>
      </c>
      <c r="I29" s="113">
        <f t="shared" ref="I29:R29" si="14">I28/I24</f>
        <v>351.73082287308233</v>
      </c>
      <c r="J29" s="113">
        <f t="shared" si="14"/>
        <v>331.95512820512823</v>
      </c>
      <c r="K29" s="113">
        <f t="shared" si="14"/>
        <v>317.19477434679339</v>
      </c>
      <c r="L29" s="113">
        <f t="shared" si="14"/>
        <v>308.65623253214085</v>
      </c>
      <c r="M29" s="113">
        <f t="shared" si="14"/>
        <v>302.05111989459817</v>
      </c>
      <c r="N29" s="113">
        <f t="shared" si="14"/>
        <v>298.58776529338326</v>
      </c>
      <c r="O29" s="113">
        <f t="shared" si="14"/>
        <v>297.57366177167222</v>
      </c>
      <c r="P29" s="113">
        <f t="shared" si="14"/>
        <v>301.79603157670147</v>
      </c>
      <c r="Q29" s="113">
        <f t="shared" si="14"/>
        <v>305.15437025501262</v>
      </c>
      <c r="R29" s="113">
        <f t="shared" si="14"/>
        <v>280.0525786245172</v>
      </c>
    </row>
    <row r="30" spans="3:20" x14ac:dyDescent="0.3">
      <c r="C30" s="72"/>
      <c r="D30" s="72"/>
      <c r="E30" s="80"/>
      <c r="G30" s="106" t="s">
        <v>1</v>
      </c>
      <c r="H30" s="107">
        <f>H25/H28</f>
        <v>0.98065053905134314</v>
      </c>
      <c r="I30" s="107">
        <f t="shared" ref="I30:R30" si="15">I25/I28</f>
        <v>0.9704370893489459</v>
      </c>
      <c r="J30" s="107">
        <f t="shared" si="15"/>
        <v>0.97399246886163948</v>
      </c>
      <c r="K30" s="107">
        <f t="shared" si="15"/>
        <v>0.96947333737709585</v>
      </c>
      <c r="L30" s="107">
        <f t="shared" si="15"/>
        <v>0.96734795883995606</v>
      </c>
      <c r="M30" s="107">
        <f t="shared" si="15"/>
        <v>0.96343663524920531</v>
      </c>
      <c r="N30" s="107">
        <f t="shared" si="15"/>
        <v>0.95855646723151178</v>
      </c>
      <c r="O30" s="107">
        <f t="shared" si="15"/>
        <v>0.95183530782676251</v>
      </c>
      <c r="P30" s="107">
        <f t="shared" si="15"/>
        <v>0.8881866473243889</v>
      </c>
      <c r="Q30" s="107">
        <f t="shared" si="15"/>
        <v>0.90235892568025322</v>
      </c>
      <c r="R30" s="107">
        <f t="shared" si="15"/>
        <v>0.90835120006489967</v>
      </c>
    </row>
    <row r="31" spans="3:20" x14ac:dyDescent="0.3">
      <c r="D31" s="72"/>
      <c r="E31" s="76"/>
      <c r="G31" s="101" t="s">
        <v>109</v>
      </c>
      <c r="H31" s="86">
        <f>H26/H28</f>
        <v>1.9349460948656815E-2</v>
      </c>
      <c r="I31" s="86">
        <f t="shared" ref="I31:R31" si="16">I26/I28</f>
        <v>2.9562910651054163E-2</v>
      </c>
      <c r="J31" s="86">
        <f t="shared" si="16"/>
        <v>2.6007531138360532E-2</v>
      </c>
      <c r="K31" s="86">
        <f t="shared" si="16"/>
        <v>3.0526662622904176E-2</v>
      </c>
      <c r="L31" s="86">
        <f t="shared" si="16"/>
        <v>3.2652041160043901E-2</v>
      </c>
      <c r="M31" s="86">
        <f t="shared" si="16"/>
        <v>3.6563364750794747E-2</v>
      </c>
      <c r="N31" s="86">
        <f t="shared" si="16"/>
        <v>4.1443532768488202E-2</v>
      </c>
      <c r="O31" s="86">
        <f t="shared" si="16"/>
        <v>4.816469217323753E-2</v>
      </c>
      <c r="P31" s="86">
        <f t="shared" si="16"/>
        <v>0.1118133526756111</v>
      </c>
      <c r="Q31" s="86">
        <f t="shared" si="16"/>
        <v>9.7641074319746793E-2</v>
      </c>
      <c r="R31" s="86">
        <f t="shared" si="16"/>
        <v>9.1648799935100334E-2</v>
      </c>
      <c r="T31" s="68"/>
    </row>
    <row r="32" spans="3:20" x14ac:dyDescent="0.3">
      <c r="C32" s="77"/>
      <c r="D32" s="80"/>
      <c r="E32" s="80"/>
      <c r="G32" s="101" t="s">
        <v>110</v>
      </c>
      <c r="H32" s="86">
        <f>H27/H28</f>
        <v>0</v>
      </c>
      <c r="I32" s="86">
        <f t="shared" ref="I32:R32" si="17">I27/I28</f>
        <v>0</v>
      </c>
      <c r="J32" s="86">
        <f t="shared" si="17"/>
        <v>0</v>
      </c>
      <c r="K32" s="86">
        <f t="shared" si="17"/>
        <v>0</v>
      </c>
      <c r="L32" s="86">
        <f t="shared" si="17"/>
        <v>0</v>
      </c>
      <c r="M32" s="86">
        <f t="shared" si="17"/>
        <v>0</v>
      </c>
      <c r="N32" s="86">
        <f t="shared" si="17"/>
        <v>0</v>
      </c>
      <c r="O32" s="86">
        <f t="shared" si="17"/>
        <v>0</v>
      </c>
      <c r="P32" s="86">
        <f t="shared" si="17"/>
        <v>0</v>
      </c>
      <c r="Q32" s="86">
        <f t="shared" si="17"/>
        <v>0</v>
      </c>
      <c r="R32" s="86">
        <f t="shared" si="17"/>
        <v>0</v>
      </c>
      <c r="T32" s="68"/>
    </row>
    <row r="33" spans="3:18" x14ac:dyDescent="0.3">
      <c r="E33" s="80"/>
      <c r="G33" s="101" t="s">
        <v>111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>
        <v>350</v>
      </c>
    </row>
    <row r="34" spans="3:18" x14ac:dyDescent="0.3">
      <c r="C34" s="59"/>
      <c r="D34" s="72"/>
      <c r="E34" s="72"/>
      <c r="G34" s="101" t="s">
        <v>112</v>
      </c>
      <c r="H34" s="86"/>
      <c r="I34" s="87"/>
      <c r="J34" s="87"/>
      <c r="K34" s="87"/>
      <c r="L34" s="87"/>
      <c r="M34" s="87"/>
      <c r="N34" s="87"/>
      <c r="O34" s="87"/>
      <c r="P34" s="87"/>
      <c r="Q34" s="87"/>
      <c r="R34" s="87">
        <v>0</v>
      </c>
    </row>
    <row r="35" spans="3:18" x14ac:dyDescent="0.3">
      <c r="C35" s="59"/>
      <c r="D35" s="72"/>
      <c r="E35" s="72"/>
      <c r="G35" s="101" t="s">
        <v>113</v>
      </c>
      <c r="H35" s="85">
        <f t="shared" ref="H35:R35" si="18">H33-(H33*H34)</f>
        <v>0</v>
      </c>
      <c r="I35" s="85">
        <f t="shared" si="18"/>
        <v>0</v>
      </c>
      <c r="J35" s="85">
        <f t="shared" si="18"/>
        <v>0</v>
      </c>
      <c r="K35" s="85">
        <f t="shared" si="18"/>
        <v>0</v>
      </c>
      <c r="L35" s="85">
        <f t="shared" si="18"/>
        <v>0</v>
      </c>
      <c r="M35" s="85">
        <f t="shared" si="18"/>
        <v>0</v>
      </c>
      <c r="N35" s="85">
        <f t="shared" si="18"/>
        <v>0</v>
      </c>
      <c r="O35" s="85">
        <f t="shared" si="18"/>
        <v>0</v>
      </c>
      <c r="P35" s="85">
        <f t="shared" si="18"/>
        <v>0</v>
      </c>
      <c r="Q35" s="85">
        <f t="shared" si="18"/>
        <v>0</v>
      </c>
      <c r="R35" s="85">
        <f t="shared" si="18"/>
        <v>350</v>
      </c>
    </row>
    <row r="36" spans="3:18" x14ac:dyDescent="0.3">
      <c r="C36" s="59"/>
      <c r="D36" s="72"/>
      <c r="E36" s="72"/>
      <c r="G36" s="101" t="s">
        <v>114</v>
      </c>
      <c r="H36" s="85">
        <f>H35-H29</f>
        <v>-378.11587485515651</v>
      </c>
      <c r="I36" s="85">
        <f t="shared" ref="I36:R36" si="19">I35-I29</f>
        <v>-351.73082287308233</v>
      </c>
      <c r="J36" s="85">
        <f t="shared" si="19"/>
        <v>-331.95512820512823</v>
      </c>
      <c r="K36" s="85">
        <f t="shared" si="19"/>
        <v>-317.19477434679339</v>
      </c>
      <c r="L36" s="85">
        <f t="shared" si="19"/>
        <v>-308.65623253214085</v>
      </c>
      <c r="M36" s="85">
        <f t="shared" si="19"/>
        <v>-302.05111989459817</v>
      </c>
      <c r="N36" s="85">
        <f t="shared" si="19"/>
        <v>-298.58776529338326</v>
      </c>
      <c r="O36" s="85">
        <f t="shared" si="19"/>
        <v>-297.57366177167222</v>
      </c>
      <c r="P36" s="85">
        <f t="shared" si="19"/>
        <v>-301.79603157670147</v>
      </c>
      <c r="Q36" s="85">
        <f t="shared" si="19"/>
        <v>-305.15437025501262</v>
      </c>
      <c r="R36" s="85">
        <f t="shared" si="19"/>
        <v>69.947421375482804</v>
      </c>
    </row>
    <row r="37" spans="3:18" x14ac:dyDescent="0.3">
      <c r="C37" s="59"/>
      <c r="D37" s="72"/>
      <c r="E37" s="72"/>
      <c r="G37" s="101" t="s">
        <v>115</v>
      </c>
      <c r="H37" s="108">
        <f>(H24*H35)</f>
        <v>0</v>
      </c>
      <c r="I37" s="108">
        <f t="shared" ref="I37:R37" si="20">(I24*I35)</f>
        <v>0</v>
      </c>
      <c r="J37" s="108">
        <f t="shared" si="20"/>
        <v>0</v>
      </c>
      <c r="K37" s="108">
        <f t="shared" si="20"/>
        <v>0</v>
      </c>
      <c r="L37" s="108">
        <f t="shared" si="20"/>
        <v>0</v>
      </c>
      <c r="M37" s="108">
        <f t="shared" si="20"/>
        <v>0</v>
      </c>
      <c r="N37" s="108">
        <f t="shared" si="20"/>
        <v>0</v>
      </c>
      <c r="O37" s="108">
        <f t="shared" si="20"/>
        <v>0</v>
      </c>
      <c r="P37" s="108">
        <f t="shared" si="20"/>
        <v>0</v>
      </c>
      <c r="Q37" s="108">
        <f t="shared" si="20"/>
        <v>0</v>
      </c>
      <c r="R37" s="108">
        <f t="shared" si="20"/>
        <v>3594616.666666667</v>
      </c>
    </row>
    <row r="38" spans="3:18" x14ac:dyDescent="0.3">
      <c r="C38" s="59"/>
      <c r="D38" s="72"/>
      <c r="E38" s="72"/>
      <c r="G38" s="101" t="s">
        <v>116</v>
      </c>
      <c r="H38" s="108">
        <f>H37-H28</f>
        <v>-1631570</v>
      </c>
      <c r="I38" s="108">
        <f t="shared" ref="I38:R38" si="21">I37-I28</f>
        <v>-1681273.3333333333</v>
      </c>
      <c r="J38" s="108">
        <f t="shared" si="21"/>
        <v>-1726166.6666666665</v>
      </c>
      <c r="K38" s="108">
        <f t="shared" si="21"/>
        <v>-1780519.9999999998</v>
      </c>
      <c r="L38" s="108">
        <f t="shared" si="21"/>
        <v>-1840619.9999999998</v>
      </c>
      <c r="M38" s="108">
        <f t="shared" si="21"/>
        <v>-1910473.333333333</v>
      </c>
      <c r="N38" s="108">
        <f t="shared" si="21"/>
        <v>-1993073.333333333</v>
      </c>
      <c r="O38" s="108">
        <f t="shared" si="21"/>
        <v>-2093926.6666666663</v>
      </c>
      <c r="P38" s="108">
        <f t="shared" si="21"/>
        <v>-2357529.9999999995</v>
      </c>
      <c r="Q38" s="108">
        <f t="shared" si="21"/>
        <v>-2612629.9999999995</v>
      </c>
      <c r="R38" s="108">
        <f t="shared" si="21"/>
        <v>718383.33333333395</v>
      </c>
    </row>
    <row r="39" spans="3:18" x14ac:dyDescent="0.3">
      <c r="C39" s="59"/>
      <c r="D39" s="72"/>
      <c r="E39" s="72"/>
      <c r="G39" s="101" t="s">
        <v>117</v>
      </c>
      <c r="H39" s="108">
        <f t="shared" ref="H39:R39" si="22">H38/(H6-(H6*H23))</f>
        <v>-3263.14</v>
      </c>
      <c r="I39" s="108">
        <f t="shared" si="22"/>
        <v>-3362.5466666666666</v>
      </c>
      <c r="J39" s="108">
        <f t="shared" si="22"/>
        <v>-3452.333333333333</v>
      </c>
      <c r="K39" s="108">
        <f t="shared" si="22"/>
        <v>-3561.0399999999995</v>
      </c>
      <c r="L39" s="108">
        <f t="shared" si="22"/>
        <v>-3681.2399999999993</v>
      </c>
      <c r="M39" s="108">
        <f t="shared" si="22"/>
        <v>-3820.9466666666663</v>
      </c>
      <c r="N39" s="108">
        <f t="shared" si="22"/>
        <v>-3986.1466666666661</v>
      </c>
      <c r="O39" s="108">
        <f t="shared" si="22"/>
        <v>-4187.8533333333326</v>
      </c>
      <c r="P39" s="108">
        <f t="shared" si="22"/>
        <v>-4715.0599999999995</v>
      </c>
      <c r="Q39" s="108">
        <f t="shared" si="22"/>
        <v>-5225.2599999999993</v>
      </c>
      <c r="R39" s="108">
        <f t="shared" si="22"/>
        <v>1436.766666666668</v>
      </c>
    </row>
    <row r="40" spans="3:18" ht="15" customHeight="1" x14ac:dyDescent="0.3">
      <c r="C40" s="59"/>
      <c r="D40" s="72"/>
      <c r="E40" s="72"/>
      <c r="F40" s="88"/>
      <c r="G40" s="101" t="s">
        <v>118</v>
      </c>
      <c r="H40" s="86">
        <f>H38/H28</f>
        <v>-1</v>
      </c>
      <c r="I40" s="86">
        <f t="shared" ref="I40:R40" si="23">I38/I28</f>
        <v>-1</v>
      </c>
      <c r="J40" s="86">
        <f t="shared" si="23"/>
        <v>-1</v>
      </c>
      <c r="K40" s="86">
        <f t="shared" si="23"/>
        <v>-1</v>
      </c>
      <c r="L40" s="86">
        <f t="shared" si="23"/>
        <v>-1</v>
      </c>
      <c r="M40" s="86">
        <f t="shared" si="23"/>
        <v>-1</v>
      </c>
      <c r="N40" s="86">
        <f t="shared" si="23"/>
        <v>-1</v>
      </c>
      <c r="O40" s="86">
        <f t="shared" si="23"/>
        <v>-1</v>
      </c>
      <c r="P40" s="86">
        <f t="shared" si="23"/>
        <v>-1</v>
      </c>
      <c r="Q40" s="86">
        <f t="shared" si="23"/>
        <v>-1</v>
      </c>
      <c r="R40" s="86">
        <f t="shared" si="23"/>
        <v>0.24976531806645288</v>
      </c>
    </row>
    <row r="41" spans="3:18" x14ac:dyDescent="0.3">
      <c r="C41" s="59"/>
      <c r="D41" s="72"/>
      <c r="E41" s="72"/>
      <c r="G41" s="101" t="s">
        <v>119</v>
      </c>
      <c r="H41" s="86">
        <f>((1+H40)^(1/(H13/30)))-1</f>
        <v>-1</v>
      </c>
      <c r="I41" s="86">
        <f t="shared" ref="I41:R41" si="24">((1+I40)^(1/(I13/30)))-1</f>
        <v>-1</v>
      </c>
      <c r="J41" s="86">
        <f t="shared" si="24"/>
        <v>-1</v>
      </c>
      <c r="K41" s="86">
        <f t="shared" si="24"/>
        <v>-1</v>
      </c>
      <c r="L41" s="86">
        <f t="shared" si="24"/>
        <v>-1</v>
      </c>
      <c r="M41" s="86">
        <f t="shared" si="24"/>
        <v>-1</v>
      </c>
      <c r="N41" s="86">
        <f t="shared" si="24"/>
        <v>-1</v>
      </c>
      <c r="O41" s="86">
        <f t="shared" si="24"/>
        <v>-1</v>
      </c>
      <c r="P41" s="86">
        <f t="shared" si="24"/>
        <v>-1</v>
      </c>
      <c r="Q41" s="86">
        <f t="shared" si="24"/>
        <v>-1</v>
      </c>
      <c r="R41" s="86">
        <f t="shared" si="24"/>
        <v>0.24080909889753821</v>
      </c>
    </row>
    <row r="42" spans="3:18" ht="15" thickBot="1" x14ac:dyDescent="0.35">
      <c r="C42" s="59"/>
      <c r="D42" s="72"/>
      <c r="E42" s="72"/>
      <c r="G42" s="109" t="s">
        <v>120</v>
      </c>
      <c r="H42" s="110">
        <f>((1+H41)^12)-1</f>
        <v>-1</v>
      </c>
      <c r="I42" s="110">
        <f t="shared" ref="I42:R42" si="25">((1+I41)^12)-1</f>
        <v>-1</v>
      </c>
      <c r="J42" s="110">
        <f t="shared" si="25"/>
        <v>-1</v>
      </c>
      <c r="K42" s="110">
        <f t="shared" si="25"/>
        <v>-1</v>
      </c>
      <c r="L42" s="110">
        <f t="shared" si="25"/>
        <v>-1</v>
      </c>
      <c r="M42" s="110">
        <f t="shared" si="25"/>
        <v>-1</v>
      </c>
      <c r="N42" s="110">
        <f t="shared" si="25"/>
        <v>-1</v>
      </c>
      <c r="O42" s="110">
        <f t="shared" si="25"/>
        <v>-1</v>
      </c>
      <c r="P42" s="110">
        <f t="shared" si="25"/>
        <v>-1</v>
      </c>
      <c r="Q42" s="110">
        <f t="shared" si="25"/>
        <v>-1</v>
      </c>
      <c r="R42" s="110">
        <f t="shared" si="25"/>
        <v>12.318632455220751</v>
      </c>
    </row>
    <row r="43" spans="3:18" x14ac:dyDescent="0.3">
      <c r="C43" s="59"/>
      <c r="D43" s="72"/>
    </row>
    <row r="44" spans="3:18" x14ac:dyDescent="0.3">
      <c r="C44" s="59"/>
      <c r="D44" s="89"/>
      <c r="E44" s="89"/>
    </row>
    <row r="45" spans="3:18" x14ac:dyDescent="0.3">
      <c r="C45" s="59"/>
      <c r="D45" s="82"/>
      <c r="F45" s="90"/>
      <c r="G45" s="91"/>
      <c r="H45" s="94"/>
      <c r="I45" s="94"/>
      <c r="J45" s="94"/>
      <c r="K45" s="91"/>
      <c r="L45" s="94"/>
      <c r="M45" s="94"/>
      <c r="N45" s="94"/>
      <c r="O45" s="94"/>
      <c r="P45" s="97"/>
      <c r="R45" s="95"/>
    </row>
    <row r="46" spans="3:18" x14ac:dyDescent="0.3">
      <c r="C46" s="59"/>
      <c r="D46" s="80"/>
      <c r="F46" s="90"/>
      <c r="G46" s="91"/>
      <c r="H46" s="94"/>
      <c r="I46" s="94"/>
      <c r="J46" s="94"/>
      <c r="K46" s="91"/>
      <c r="L46" s="94"/>
      <c r="M46" s="92"/>
      <c r="N46" s="94"/>
      <c r="O46" s="94"/>
      <c r="P46" s="97"/>
      <c r="R46" s="95"/>
    </row>
    <row r="47" spans="3:18" x14ac:dyDescent="0.3">
      <c r="C47" s="59"/>
      <c r="D47" s="75"/>
      <c r="F47" s="90"/>
      <c r="G47" s="91"/>
      <c r="H47" s="94"/>
      <c r="I47" s="94"/>
      <c r="J47" s="75"/>
      <c r="K47" s="91"/>
      <c r="L47" s="94"/>
      <c r="M47" s="94"/>
      <c r="N47" s="94"/>
      <c r="O47" s="94"/>
      <c r="P47" s="97"/>
      <c r="R47" s="95"/>
    </row>
    <row r="48" spans="3:18" x14ac:dyDescent="0.3">
      <c r="F48" s="90"/>
      <c r="G48" s="91"/>
      <c r="H48" s="94"/>
      <c r="I48" s="94"/>
      <c r="J48" s="75"/>
      <c r="K48" s="91"/>
      <c r="L48" s="94"/>
      <c r="M48" s="94"/>
      <c r="N48" s="94"/>
      <c r="O48" s="94"/>
      <c r="P48" s="97"/>
      <c r="R48" s="95"/>
    </row>
    <row r="49" spans="6:18" x14ac:dyDescent="0.3">
      <c r="F49" s="90"/>
      <c r="G49" s="91"/>
      <c r="H49" s="94"/>
      <c r="I49" s="94"/>
      <c r="J49" s="75"/>
      <c r="K49" s="91"/>
      <c r="L49" s="94"/>
      <c r="M49" s="94"/>
      <c r="N49" s="94"/>
      <c r="O49" s="94"/>
      <c r="P49" s="97"/>
      <c r="R49" s="95"/>
    </row>
    <row r="50" spans="6:18" x14ac:dyDescent="0.3">
      <c r="G50" s="91"/>
      <c r="H50" s="94"/>
      <c r="I50" s="94"/>
      <c r="J50" s="94"/>
      <c r="K50" s="91"/>
      <c r="L50" s="94"/>
      <c r="M50" s="94"/>
      <c r="N50" s="94"/>
      <c r="O50" s="94"/>
      <c r="R50" s="95"/>
    </row>
    <row r="51" spans="6:18" x14ac:dyDescent="0.3">
      <c r="H51" s="91"/>
      <c r="I51" s="82"/>
      <c r="J51" s="82"/>
      <c r="K51" s="91"/>
      <c r="L51" s="94"/>
      <c r="M51" s="94"/>
      <c r="N51" s="94"/>
      <c r="O51" s="94"/>
      <c r="R51" s="95"/>
    </row>
    <row r="52" spans="6:18" x14ac:dyDescent="0.3">
      <c r="H52" s="97"/>
      <c r="I52" s="96"/>
      <c r="J52" s="96"/>
      <c r="K52" s="91"/>
      <c r="L52" s="92"/>
      <c r="M52" s="94"/>
      <c r="N52" s="94"/>
      <c r="O52" s="94"/>
      <c r="R52" s="95"/>
    </row>
    <row r="53" spans="6:18" x14ac:dyDescent="0.3">
      <c r="H53" s="97"/>
      <c r="I53" s="82"/>
      <c r="J53" s="82"/>
      <c r="K53" s="91"/>
      <c r="L53" s="75"/>
      <c r="M53" s="94"/>
      <c r="N53" s="94"/>
      <c r="O53" s="94"/>
      <c r="R53" s="95"/>
    </row>
    <row r="54" spans="6:18" x14ac:dyDescent="0.3">
      <c r="H54" s="97"/>
      <c r="K54" s="91"/>
      <c r="L54" s="75"/>
      <c r="M54" s="94"/>
      <c r="N54" s="94"/>
      <c r="O54" s="94"/>
      <c r="R54" s="95"/>
    </row>
    <row r="55" spans="6:18" x14ac:dyDescent="0.3">
      <c r="K55" s="91"/>
      <c r="L55" s="75"/>
      <c r="M55" s="94"/>
      <c r="N55" s="94"/>
      <c r="O55" s="94"/>
      <c r="R55" s="95"/>
    </row>
    <row r="56" spans="6:18" x14ac:dyDescent="0.3">
      <c r="H56" s="96"/>
      <c r="K56" s="91"/>
      <c r="L56" s="94"/>
      <c r="M56" s="94"/>
      <c r="N56" s="94"/>
      <c r="O56" s="94"/>
      <c r="R56" s="95"/>
    </row>
    <row r="57" spans="6:18" x14ac:dyDescent="0.3">
      <c r="H57" s="93"/>
      <c r="K57" s="91"/>
      <c r="L57" s="94"/>
      <c r="M57" s="94"/>
      <c r="N57" s="94"/>
      <c r="O57" s="94"/>
      <c r="R57" s="95"/>
    </row>
    <row r="58" spans="6:18" x14ac:dyDescent="0.3">
      <c r="H58" s="96"/>
      <c r="K58" s="91"/>
      <c r="L58" s="94"/>
      <c r="M58" s="94"/>
      <c r="N58" s="94"/>
      <c r="O58" s="94"/>
      <c r="R58" s="95"/>
    </row>
    <row r="59" spans="6:18" x14ac:dyDescent="0.3">
      <c r="H59" s="75"/>
      <c r="K59" s="91"/>
      <c r="L59" s="94"/>
      <c r="M59" s="94"/>
      <c r="N59" s="94"/>
      <c r="O59" s="94"/>
      <c r="R59" s="95"/>
    </row>
    <row r="60" spans="6:18" x14ac:dyDescent="0.3">
      <c r="K60" s="91"/>
      <c r="L60" s="94"/>
      <c r="M60" s="94"/>
      <c r="N60" s="94"/>
      <c r="O60" s="94"/>
      <c r="R60" s="95"/>
    </row>
    <row r="61" spans="6:18" x14ac:dyDescent="0.3">
      <c r="K61" s="91"/>
      <c r="L61" s="94"/>
      <c r="M61" s="94"/>
      <c r="N61" s="94"/>
      <c r="O61" s="94"/>
      <c r="R61" s="95"/>
    </row>
    <row r="62" spans="6:18" x14ac:dyDescent="0.3">
      <c r="K62" s="91"/>
      <c r="L62" s="94"/>
      <c r="M62" s="94"/>
      <c r="N62" s="94"/>
      <c r="O62" s="94"/>
      <c r="R62" s="95"/>
    </row>
    <row r="63" spans="6:18" x14ac:dyDescent="0.3">
      <c r="K63" s="91"/>
      <c r="L63" s="94"/>
      <c r="M63" s="94"/>
      <c r="N63" s="94"/>
      <c r="O63" s="94"/>
      <c r="R63" s="95"/>
    </row>
    <row r="64" spans="6:18" x14ac:dyDescent="0.3">
      <c r="L64" s="94"/>
      <c r="M64" s="94"/>
      <c r="N64" s="94"/>
      <c r="O64" s="94"/>
    </row>
    <row r="65" spans="12:16" x14ac:dyDescent="0.3">
      <c r="L65" s="94"/>
      <c r="M65" s="94"/>
      <c r="N65" s="94"/>
      <c r="O65" s="94"/>
    </row>
    <row r="66" spans="12:16" x14ac:dyDescent="0.3">
      <c r="L66" s="94"/>
      <c r="M66" s="94"/>
      <c r="N66" s="94"/>
      <c r="O66" s="94"/>
    </row>
    <row r="67" spans="12:16" x14ac:dyDescent="0.3">
      <c r="L67" s="94"/>
      <c r="M67" s="94"/>
      <c r="N67" s="94"/>
      <c r="O67" s="94"/>
      <c r="P67" s="97"/>
    </row>
    <row r="68" spans="12:16" x14ac:dyDescent="0.3">
      <c r="L68" s="97"/>
      <c r="M68" s="97"/>
      <c r="N68" s="97"/>
      <c r="O68" s="97"/>
    </row>
    <row r="69" spans="12:16" x14ac:dyDescent="0.3">
      <c r="O69" s="97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4512-EAAD-4E58-B830-EBEB173C03FA}">
  <dimension ref="C1:W69"/>
  <sheetViews>
    <sheetView topLeftCell="D6" workbookViewId="0">
      <selection activeCell="H14" sqref="H14"/>
    </sheetView>
  </sheetViews>
  <sheetFormatPr defaultColWidth="8.88671875" defaultRowHeight="14.4" x14ac:dyDescent="0.3"/>
  <cols>
    <col min="1" max="2" width="8.88671875" style="58"/>
    <col min="3" max="3" width="12.109375" style="58" bestFit="1" customWidth="1"/>
    <col min="4" max="4" width="13.88671875" style="58" bestFit="1" customWidth="1"/>
    <col min="5" max="5" width="13.44140625" style="58" bestFit="1" customWidth="1"/>
    <col min="6" max="6" width="8.88671875" style="58"/>
    <col min="7" max="7" width="25.5546875" style="58" bestFit="1" customWidth="1"/>
    <col min="8" max="8" width="19.109375" style="59" bestFit="1" customWidth="1"/>
    <col min="9" max="9" width="20" style="59" bestFit="1" customWidth="1"/>
    <col min="10" max="10" width="18.6640625" style="59" bestFit="1" customWidth="1"/>
    <col min="11" max="15" width="15.44140625" style="59" customWidth="1"/>
    <col min="16" max="16" width="15.33203125" style="59" bestFit="1" customWidth="1"/>
    <col min="17" max="17" width="15.44140625" style="59" customWidth="1"/>
    <col min="18" max="18" width="8.88671875" style="58"/>
    <col min="19" max="19" width="12.5546875" style="58" bestFit="1" customWidth="1"/>
    <col min="20" max="20" width="9.88671875" style="58" bestFit="1" customWidth="1"/>
    <col min="21" max="16384" width="8.88671875" style="58"/>
  </cols>
  <sheetData>
    <row r="1" spans="3:23" ht="15" thickBot="1" x14ac:dyDescent="0.35"/>
    <row r="2" spans="3:23" ht="28.8" x14ac:dyDescent="0.3">
      <c r="G2" s="60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3:23" ht="45" customHeight="1" thickBot="1" x14ac:dyDescent="0.35">
      <c r="G3" s="62"/>
      <c r="H3" s="63"/>
      <c r="I3" s="63"/>
      <c r="J3" s="63"/>
      <c r="K3" s="63"/>
      <c r="L3" s="63"/>
      <c r="M3" s="63"/>
      <c r="N3" s="63"/>
      <c r="O3" s="63"/>
      <c r="P3" s="63"/>
      <c r="Q3" s="63"/>
    </row>
    <row r="4" spans="3:23" ht="21.75" customHeight="1" thickBot="1" x14ac:dyDescent="0.4">
      <c r="G4" s="64"/>
      <c r="H4" s="65" t="s">
        <v>121</v>
      </c>
      <c r="I4" s="65" t="s">
        <v>122</v>
      </c>
      <c r="J4" s="65" t="s">
        <v>123</v>
      </c>
      <c r="K4" s="65" t="s">
        <v>124</v>
      </c>
      <c r="L4" s="65" t="s">
        <v>125</v>
      </c>
      <c r="M4" s="65" t="s">
        <v>126</v>
      </c>
      <c r="N4" s="65" t="s">
        <v>127</v>
      </c>
      <c r="O4" s="65" t="s">
        <v>128</v>
      </c>
      <c r="P4" s="65" t="s">
        <v>129</v>
      </c>
      <c r="Q4" s="65" t="s">
        <v>130</v>
      </c>
    </row>
    <row r="5" spans="3:23" ht="19.5" customHeight="1" thickBot="1" x14ac:dyDescent="0.35">
      <c r="G5" s="66"/>
      <c r="H5" s="111">
        <v>45992</v>
      </c>
      <c r="I5" s="111">
        <v>46023</v>
      </c>
      <c r="J5" s="111">
        <v>46054</v>
      </c>
      <c r="K5" s="111">
        <v>46082</v>
      </c>
      <c r="L5" s="111">
        <v>46113</v>
      </c>
      <c r="M5" s="111">
        <v>46143</v>
      </c>
      <c r="N5" s="111">
        <v>46174</v>
      </c>
      <c r="O5" s="111">
        <v>46204</v>
      </c>
      <c r="P5" s="111">
        <v>46235</v>
      </c>
      <c r="Q5" s="111">
        <v>46266</v>
      </c>
    </row>
    <row r="6" spans="3:23" ht="15" thickBot="1" x14ac:dyDescent="0.35">
      <c r="G6" s="98" t="s">
        <v>87</v>
      </c>
      <c r="H6" s="67">
        <f>Produção!$Q$7</f>
        <v>300</v>
      </c>
      <c r="I6" s="67">
        <f>Produção!$Q$7</f>
        <v>300</v>
      </c>
      <c r="J6" s="67">
        <f>Produção!$Q$7</f>
        <v>300</v>
      </c>
      <c r="K6" s="67">
        <f>Produção!$Q$7</f>
        <v>300</v>
      </c>
      <c r="L6" s="67">
        <f>Produção!$Q$7</f>
        <v>300</v>
      </c>
      <c r="M6" s="67">
        <f>Produção!$Q$7</f>
        <v>300</v>
      </c>
      <c r="N6" s="67">
        <f>Produção!$Q$7</f>
        <v>300</v>
      </c>
      <c r="O6" s="67">
        <f>Produção!$Q$7</f>
        <v>300</v>
      </c>
      <c r="P6" s="67">
        <f>Produção!$Q$7</f>
        <v>300</v>
      </c>
      <c r="Q6" s="67">
        <f>Produção!$Q$7</f>
        <v>300</v>
      </c>
      <c r="T6" s="68"/>
    </row>
    <row r="7" spans="3:23" x14ac:dyDescent="0.3">
      <c r="G7" s="99"/>
      <c r="H7" s="69"/>
      <c r="I7" s="69"/>
      <c r="J7" s="69"/>
      <c r="K7" s="69"/>
      <c r="L7" s="69"/>
      <c r="M7" s="69"/>
      <c r="N7" s="69"/>
      <c r="O7" s="69"/>
      <c r="P7" s="69"/>
      <c r="Q7" s="69"/>
      <c r="T7" s="68"/>
    </row>
    <row r="8" spans="3:23" x14ac:dyDescent="0.3">
      <c r="G8" s="100" t="s">
        <v>33</v>
      </c>
      <c r="H8" s="70">
        <v>46001</v>
      </c>
      <c r="I8" s="70">
        <f>H9+1</f>
        <v>46023</v>
      </c>
      <c r="J8" s="70">
        <f>I9+1</f>
        <v>46054</v>
      </c>
      <c r="K8" s="70">
        <f>J9+1</f>
        <v>46082</v>
      </c>
      <c r="L8" s="70">
        <f t="shared" ref="L8:Q8" si="0">K9+1</f>
        <v>46113</v>
      </c>
      <c r="M8" s="70">
        <f t="shared" si="0"/>
        <v>46143</v>
      </c>
      <c r="N8" s="70">
        <f t="shared" si="0"/>
        <v>46174</v>
      </c>
      <c r="O8" s="70">
        <f t="shared" si="0"/>
        <v>46204</v>
      </c>
      <c r="P8" s="70">
        <f t="shared" si="0"/>
        <v>46235</v>
      </c>
      <c r="Q8" s="70">
        <f t="shared" si="0"/>
        <v>46266</v>
      </c>
      <c r="T8" s="68"/>
    </row>
    <row r="9" spans="3:23" x14ac:dyDescent="0.3">
      <c r="G9" s="100" t="s">
        <v>88</v>
      </c>
      <c r="H9" s="70">
        <v>46022</v>
      </c>
      <c r="I9" s="70">
        <v>46053</v>
      </c>
      <c r="J9" s="70">
        <v>46081</v>
      </c>
      <c r="K9" s="70">
        <v>46112</v>
      </c>
      <c r="L9" s="70">
        <v>46142</v>
      </c>
      <c r="M9" s="70">
        <v>46173</v>
      </c>
      <c r="N9" s="70">
        <v>46203</v>
      </c>
      <c r="O9" s="70">
        <v>46234</v>
      </c>
      <c r="P9" s="70">
        <v>46265</v>
      </c>
      <c r="Q9" s="70">
        <v>46295</v>
      </c>
      <c r="T9" s="68"/>
    </row>
    <row r="10" spans="3:23" x14ac:dyDescent="0.3">
      <c r="D10" s="68"/>
      <c r="E10" s="68"/>
      <c r="G10" s="101" t="s">
        <v>89</v>
      </c>
      <c r="H10" s="71">
        <f>H11/30</f>
        <v>9</v>
      </c>
      <c r="I10" s="71">
        <f>I11/30</f>
        <v>9.629999999999999</v>
      </c>
      <c r="J10" s="71">
        <f>J11/30</f>
        <v>10.559999999999999</v>
      </c>
      <c r="K10" s="71">
        <f>K11/30</f>
        <v>11.399999999999999</v>
      </c>
      <c r="L10" s="71">
        <f>L11/30</f>
        <v>12.226666666666665</v>
      </c>
      <c r="M10" s="71"/>
      <c r="N10" s="71"/>
      <c r="O10" s="71"/>
      <c r="P10" s="71"/>
      <c r="Q10" s="71"/>
      <c r="T10" s="2"/>
      <c r="U10" s="2"/>
      <c r="V10" s="59"/>
      <c r="W10" s="59"/>
    </row>
    <row r="11" spans="3:23" x14ac:dyDescent="0.3">
      <c r="C11" s="72"/>
      <c r="E11" s="73"/>
      <c r="G11" s="101" t="s">
        <v>90</v>
      </c>
      <c r="H11" s="102">
        <f>Produção!R7</f>
        <v>270</v>
      </c>
      <c r="I11" s="102">
        <f>H12</f>
        <v>288.89999999999998</v>
      </c>
      <c r="J11" s="102">
        <f t="shared" ref="J11:Q11" si="1">I12</f>
        <v>316.79999999999995</v>
      </c>
      <c r="K11" s="102">
        <f t="shared" si="1"/>
        <v>341.99999999999994</v>
      </c>
      <c r="L11" s="102">
        <f t="shared" si="1"/>
        <v>366.79999999999995</v>
      </c>
      <c r="M11" s="102">
        <f t="shared" si="1"/>
        <v>387.79999999999995</v>
      </c>
      <c r="N11" s="102">
        <f t="shared" si="1"/>
        <v>409.49999999999994</v>
      </c>
      <c r="O11" s="102">
        <f t="shared" si="1"/>
        <v>430.49999999999994</v>
      </c>
      <c r="P11" s="102">
        <f t="shared" si="1"/>
        <v>452.19999999999993</v>
      </c>
      <c r="Q11" s="102">
        <f t="shared" si="1"/>
        <v>498.69999999999993</v>
      </c>
      <c r="T11" s="2"/>
      <c r="U11" s="2"/>
      <c r="V11" s="59"/>
      <c r="W11" s="59"/>
    </row>
    <row r="12" spans="3:23" x14ac:dyDescent="0.3">
      <c r="C12" s="72"/>
      <c r="D12" s="72"/>
      <c r="G12" s="101" t="s">
        <v>91</v>
      </c>
      <c r="H12" s="103">
        <f t="shared" ref="H12:Q12" si="2">H11+H16</f>
        <v>288.89999999999998</v>
      </c>
      <c r="I12" s="103">
        <f t="shared" si="2"/>
        <v>316.79999999999995</v>
      </c>
      <c r="J12" s="103">
        <f t="shared" si="2"/>
        <v>341.99999999999994</v>
      </c>
      <c r="K12" s="103">
        <f t="shared" si="2"/>
        <v>366.79999999999995</v>
      </c>
      <c r="L12" s="103">
        <f t="shared" si="2"/>
        <v>387.79999999999995</v>
      </c>
      <c r="M12" s="103">
        <f t="shared" si="2"/>
        <v>409.49999999999994</v>
      </c>
      <c r="N12" s="103">
        <f t="shared" si="2"/>
        <v>430.49999999999994</v>
      </c>
      <c r="O12" s="103">
        <f t="shared" si="2"/>
        <v>452.19999999999993</v>
      </c>
      <c r="P12" s="103">
        <f t="shared" si="2"/>
        <v>498.69999999999993</v>
      </c>
      <c r="Q12" s="103">
        <f t="shared" si="2"/>
        <v>543.69999999999993</v>
      </c>
    </row>
    <row r="13" spans="3:23" x14ac:dyDescent="0.3">
      <c r="C13" s="72"/>
      <c r="D13" s="72"/>
      <c r="G13" s="101" t="s">
        <v>92</v>
      </c>
      <c r="H13" s="74">
        <f>H9-H8</f>
        <v>21</v>
      </c>
      <c r="I13" s="74">
        <f>(I9-I8)+1</f>
        <v>31</v>
      </c>
      <c r="J13" s="74">
        <f t="shared" ref="J13:Q13" si="3">(J9-J8)+1</f>
        <v>28</v>
      </c>
      <c r="K13" s="74">
        <f t="shared" si="3"/>
        <v>31</v>
      </c>
      <c r="L13" s="74">
        <f t="shared" si="3"/>
        <v>30</v>
      </c>
      <c r="M13" s="74">
        <f t="shared" si="3"/>
        <v>31</v>
      </c>
      <c r="N13" s="74">
        <f t="shared" si="3"/>
        <v>30</v>
      </c>
      <c r="O13" s="74">
        <f t="shared" si="3"/>
        <v>31</v>
      </c>
      <c r="P13" s="74">
        <f t="shared" si="3"/>
        <v>31</v>
      </c>
      <c r="Q13" s="74">
        <f t="shared" si="3"/>
        <v>30</v>
      </c>
    </row>
    <row r="14" spans="3:23" x14ac:dyDescent="0.3">
      <c r="C14" s="72"/>
      <c r="D14" s="72"/>
      <c r="G14" s="114" t="s">
        <v>93</v>
      </c>
      <c r="H14" s="116">
        <f>Produção!AA9+((Fluxo!K14/30)/(Produção!$Q$5+Produção!$Q$6+Produção!$Q$7))</f>
        <v>3.0066666666666668</v>
      </c>
      <c r="I14" s="116">
        <f>Produção!AB9+((Fluxo!L14/30)/(Produção!$Q$5+Produção!$Q$6+Produção!$Q$7))</f>
        <v>3.206666666666667</v>
      </c>
      <c r="J14" s="116">
        <f>Produção!AC9+((Fluxo!M14/30)/(Produção!$Q$5+Produção!$Q$6+Produção!$Q$7))</f>
        <v>3.206666666666667</v>
      </c>
      <c r="K14" s="116">
        <f>Produção!AD9+((Fluxo!N14/30)/(Produção!$Q$5+Produção!$Q$6+Produção!$Q$7))</f>
        <v>3.5066666666666668</v>
      </c>
      <c r="L14" s="116">
        <f>Produção!AE9+((Fluxo!O14/30)/(Produção!$Q$5+Produção!$Q$6+Produção!$Q$7))</f>
        <v>4.0066666666666668</v>
      </c>
      <c r="M14" s="116">
        <f>Produção!AF9+((Fluxo!P14/30)/(Produção!$Q$5+Produção!$Q$6+Produção!$Q$7))</f>
        <v>4.5066666666666668</v>
      </c>
      <c r="N14" s="116">
        <f>Produção!AG9+((Fluxo!Q14/30)/(Produção!$Q$5+Produção!$Q$6+Produção!$Q$7))</f>
        <v>5.5066666666666668</v>
      </c>
      <c r="O14" s="116">
        <f>Produção!AH9+((Fluxo!R14/30)/(Produção!$Q$5+Produção!$Q$6+Produção!$Q$7))</f>
        <v>17.006666666666668</v>
      </c>
      <c r="P14" s="116">
        <f>Produção!AI9+((Fluxo!S14/30)/(Produção!$Q$5+Produção!$Q$6+Produção!$Q$7))</f>
        <v>17.006666666666668</v>
      </c>
      <c r="Q14" s="116">
        <f>Produção!AJ9+((Fluxo!T14/30)/(Produção!$Q$5+Produção!$Q$6+Produção!$Q$7))</f>
        <v>17.006666666666668</v>
      </c>
    </row>
    <row r="15" spans="3:23" x14ac:dyDescent="0.3">
      <c r="C15" s="80"/>
      <c r="D15" s="72"/>
      <c r="G15" s="114" t="s">
        <v>94</v>
      </c>
      <c r="H15" s="115">
        <f>Produção!O13</f>
        <v>0.9</v>
      </c>
      <c r="I15" s="115">
        <f>Produção!P13</f>
        <v>0.9</v>
      </c>
      <c r="J15" s="115">
        <f>Produção!Q13</f>
        <v>0.9</v>
      </c>
      <c r="K15" s="115">
        <f>Produção!R13</f>
        <v>0.8</v>
      </c>
      <c r="L15" s="115">
        <f>Produção!S13</f>
        <v>0.7</v>
      </c>
      <c r="M15" s="115">
        <f>Produção!T13</f>
        <v>0.7</v>
      </c>
      <c r="N15" s="115">
        <f>Produção!U13</f>
        <v>0.7</v>
      </c>
      <c r="O15" s="115">
        <f>Produção!V13</f>
        <v>0.7</v>
      </c>
      <c r="P15" s="115">
        <v>1.5</v>
      </c>
      <c r="Q15" s="115">
        <v>1.5</v>
      </c>
    </row>
    <row r="16" spans="3:23" x14ac:dyDescent="0.3">
      <c r="D16" s="75"/>
      <c r="G16" s="101" t="s">
        <v>95</v>
      </c>
      <c r="H16" s="74">
        <f t="shared" ref="H16:Q16" si="4">H15*H13</f>
        <v>18.900000000000002</v>
      </c>
      <c r="I16" s="74">
        <f t="shared" si="4"/>
        <v>27.900000000000002</v>
      </c>
      <c r="J16" s="74">
        <f t="shared" si="4"/>
        <v>25.2</v>
      </c>
      <c r="K16" s="74">
        <f t="shared" si="4"/>
        <v>24.8</v>
      </c>
      <c r="L16" s="74">
        <f t="shared" si="4"/>
        <v>21</v>
      </c>
      <c r="M16" s="74">
        <f t="shared" si="4"/>
        <v>21.7</v>
      </c>
      <c r="N16" s="74">
        <f t="shared" si="4"/>
        <v>21</v>
      </c>
      <c r="O16" s="74">
        <f t="shared" si="4"/>
        <v>21.7</v>
      </c>
      <c r="P16" s="74">
        <f t="shared" si="4"/>
        <v>46.5</v>
      </c>
      <c r="Q16" s="74">
        <f t="shared" si="4"/>
        <v>45</v>
      </c>
    </row>
    <row r="17" spans="3:19" x14ac:dyDescent="0.3">
      <c r="D17" s="76"/>
      <c r="E17" s="76"/>
      <c r="G17" s="101" t="s">
        <v>96</v>
      </c>
      <c r="H17" s="79">
        <f t="shared" ref="H17:Q17" si="5">(H19+(H14*H13))/H22</f>
        <v>371.04257528556599</v>
      </c>
      <c r="I17" s="79">
        <f t="shared" si="5"/>
        <v>347.77904040404042</v>
      </c>
      <c r="J17" s="79">
        <f t="shared" si="5"/>
        <v>330.0292397660819</v>
      </c>
      <c r="K17" s="79">
        <f t="shared" si="5"/>
        <v>316.60632497273724</v>
      </c>
      <c r="L17" s="79">
        <f t="shared" si="5"/>
        <v>308.76018566271273</v>
      </c>
      <c r="M17" s="79">
        <f t="shared" si="5"/>
        <v>302.63345543345548</v>
      </c>
      <c r="N17" s="79">
        <f t="shared" si="5"/>
        <v>299.38304297328693</v>
      </c>
      <c r="O17" s="79">
        <f t="shared" si="5"/>
        <v>319.99248120300757</v>
      </c>
      <c r="P17" s="79">
        <f t="shared" si="5"/>
        <v>321.87046320433132</v>
      </c>
      <c r="Q17" s="79">
        <f t="shared" si="5"/>
        <v>293.98364739913387</v>
      </c>
    </row>
    <row r="18" spans="3:19" x14ac:dyDescent="0.3">
      <c r="D18" s="77"/>
      <c r="G18" s="101" t="s">
        <v>97</v>
      </c>
      <c r="H18" s="78">
        <f t="shared" ref="H18:Q18" si="6">(H14*H6)*H13</f>
        <v>18942</v>
      </c>
      <c r="I18" s="78">
        <f t="shared" si="6"/>
        <v>29822.000000000004</v>
      </c>
      <c r="J18" s="78">
        <f t="shared" si="6"/>
        <v>26936.000000000004</v>
      </c>
      <c r="K18" s="78">
        <f t="shared" si="6"/>
        <v>32612</v>
      </c>
      <c r="L18" s="78">
        <f t="shared" si="6"/>
        <v>36060</v>
      </c>
      <c r="M18" s="78">
        <f t="shared" si="6"/>
        <v>41912</v>
      </c>
      <c r="N18" s="78">
        <f t="shared" si="6"/>
        <v>49560</v>
      </c>
      <c r="O18" s="78">
        <f t="shared" si="6"/>
        <v>158162</v>
      </c>
      <c r="P18" s="78">
        <f t="shared" si="6"/>
        <v>158162</v>
      </c>
      <c r="Q18" s="78">
        <f t="shared" si="6"/>
        <v>153060</v>
      </c>
    </row>
    <row r="19" spans="3:19" x14ac:dyDescent="0.3">
      <c r="C19" s="72"/>
      <c r="G19" s="101" t="s">
        <v>98</v>
      </c>
      <c r="H19" s="78">
        <f>Produção!T7</f>
        <v>3510</v>
      </c>
      <c r="I19" s="78">
        <f>H28/I6</f>
        <v>3573.14</v>
      </c>
      <c r="J19" s="78">
        <f t="shared" ref="J19:Q19" si="7">I28/J6</f>
        <v>3672.5466666666666</v>
      </c>
      <c r="K19" s="78">
        <f t="shared" si="7"/>
        <v>3762.3333333333335</v>
      </c>
      <c r="L19" s="78">
        <f t="shared" si="7"/>
        <v>3871.04</v>
      </c>
      <c r="M19" s="78">
        <f t="shared" si="7"/>
        <v>3991.24</v>
      </c>
      <c r="N19" s="78">
        <f t="shared" si="7"/>
        <v>4130.9466666666667</v>
      </c>
      <c r="O19" s="78">
        <f t="shared" si="7"/>
        <v>4296.1466666666665</v>
      </c>
      <c r="P19" s="78">
        <f t="shared" si="7"/>
        <v>4823.3533333333335</v>
      </c>
      <c r="Q19" s="78">
        <f t="shared" si="7"/>
        <v>5350.56</v>
      </c>
    </row>
    <row r="20" spans="3:19" x14ac:dyDescent="0.3">
      <c r="D20" s="68"/>
      <c r="E20" s="80"/>
      <c r="G20" s="101" t="s">
        <v>99</v>
      </c>
      <c r="H20" s="81">
        <v>0.5</v>
      </c>
      <c r="I20" s="81">
        <v>0.5</v>
      </c>
      <c r="J20" s="81">
        <v>0.5</v>
      </c>
      <c r="K20" s="81">
        <v>0.5</v>
      </c>
      <c r="L20" s="81">
        <v>0.5</v>
      </c>
      <c r="M20" s="81">
        <v>0.5</v>
      </c>
      <c r="N20" s="81">
        <v>0.5</v>
      </c>
      <c r="O20" s="81">
        <v>0.5</v>
      </c>
      <c r="P20" s="81">
        <v>0.5</v>
      </c>
      <c r="Q20" s="81">
        <v>0.55000000000000004</v>
      </c>
    </row>
    <row r="21" spans="3:19" x14ac:dyDescent="0.3">
      <c r="C21" s="72"/>
      <c r="E21" s="80"/>
      <c r="G21" s="101" t="s">
        <v>100</v>
      </c>
      <c r="H21" s="71">
        <f t="shared" ref="H21:Q21" si="8">(H16*H20)/15</f>
        <v>0.63000000000000012</v>
      </c>
      <c r="I21" s="71">
        <f t="shared" si="8"/>
        <v>0.93</v>
      </c>
      <c r="J21" s="71">
        <f t="shared" si="8"/>
        <v>0.84</v>
      </c>
      <c r="K21" s="71">
        <f>(K16*K20)/15</f>
        <v>0.82666666666666666</v>
      </c>
      <c r="L21" s="71">
        <f t="shared" si="8"/>
        <v>0.7</v>
      </c>
      <c r="M21" s="71">
        <f t="shared" si="8"/>
        <v>0.72333333333333327</v>
      </c>
      <c r="N21" s="71">
        <f t="shared" si="8"/>
        <v>0.7</v>
      </c>
      <c r="O21" s="71">
        <f t="shared" si="8"/>
        <v>0.72333333333333327</v>
      </c>
      <c r="P21" s="71">
        <f t="shared" si="8"/>
        <v>1.55</v>
      </c>
      <c r="Q21" s="71">
        <f t="shared" si="8"/>
        <v>1.6500000000000001</v>
      </c>
    </row>
    <row r="22" spans="3:19" x14ac:dyDescent="0.3">
      <c r="C22" s="72"/>
      <c r="D22" s="72"/>
      <c r="E22" s="80"/>
      <c r="G22" s="101" t="s">
        <v>101</v>
      </c>
      <c r="H22" s="71">
        <f t="shared" ref="H22:Q22" si="9">(H12*H20)/15</f>
        <v>9.629999999999999</v>
      </c>
      <c r="I22" s="71">
        <f t="shared" si="9"/>
        <v>10.559999999999999</v>
      </c>
      <c r="J22" s="71">
        <f t="shared" si="9"/>
        <v>11.399999999999999</v>
      </c>
      <c r="K22" s="71">
        <f>(K12*K20)/15</f>
        <v>12.226666666666665</v>
      </c>
      <c r="L22" s="71">
        <f t="shared" si="9"/>
        <v>12.926666666666666</v>
      </c>
      <c r="M22" s="71">
        <f t="shared" si="9"/>
        <v>13.649999999999999</v>
      </c>
      <c r="N22" s="71">
        <f t="shared" si="9"/>
        <v>14.349999999999998</v>
      </c>
      <c r="O22" s="71">
        <f t="shared" si="9"/>
        <v>15.073333333333331</v>
      </c>
      <c r="P22" s="71">
        <f t="shared" si="9"/>
        <v>16.623333333333331</v>
      </c>
      <c r="Q22" s="71">
        <f t="shared" si="9"/>
        <v>19.935666666666666</v>
      </c>
    </row>
    <row r="23" spans="3:19" x14ac:dyDescent="0.3">
      <c r="C23" s="72"/>
      <c r="D23" s="72"/>
      <c r="E23" s="80"/>
      <c r="F23" s="82"/>
      <c r="G23" s="101" t="s">
        <v>102</v>
      </c>
      <c r="H23" s="83">
        <v>0</v>
      </c>
      <c r="I23" s="83">
        <v>0</v>
      </c>
      <c r="J23" s="83">
        <v>0</v>
      </c>
      <c r="K23" s="83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</row>
    <row r="24" spans="3:19" x14ac:dyDescent="0.3">
      <c r="C24" s="72"/>
      <c r="D24" s="72"/>
      <c r="E24" s="80"/>
      <c r="F24" s="77"/>
      <c r="G24" s="101" t="s">
        <v>103</v>
      </c>
      <c r="H24" s="104">
        <f t="shared" ref="H24:Q24" si="10">(H6-(H6*H23))*H22</f>
        <v>2888.9999999999995</v>
      </c>
      <c r="I24" s="104">
        <f t="shared" si="10"/>
        <v>3167.9999999999995</v>
      </c>
      <c r="J24" s="104">
        <f t="shared" si="10"/>
        <v>3419.9999999999995</v>
      </c>
      <c r="K24" s="104">
        <f t="shared" si="10"/>
        <v>3667.9999999999995</v>
      </c>
      <c r="L24" s="104">
        <f t="shared" si="10"/>
        <v>3877.9999999999995</v>
      </c>
      <c r="M24" s="104">
        <f t="shared" si="10"/>
        <v>4094.9999999999995</v>
      </c>
      <c r="N24" s="104">
        <f t="shared" si="10"/>
        <v>4304.9999999999991</v>
      </c>
      <c r="O24" s="104">
        <f t="shared" si="10"/>
        <v>4521.9999999999991</v>
      </c>
      <c r="P24" s="104">
        <f t="shared" si="10"/>
        <v>4986.9999999999991</v>
      </c>
      <c r="Q24" s="104">
        <f t="shared" si="10"/>
        <v>5980.7</v>
      </c>
    </row>
    <row r="25" spans="3:19" x14ac:dyDescent="0.3">
      <c r="D25" s="72"/>
      <c r="E25" s="80"/>
      <c r="G25" s="101" t="s">
        <v>104</v>
      </c>
      <c r="H25" s="105">
        <f t="shared" ref="H25:Q25" si="11">H6*H19</f>
        <v>1053000</v>
      </c>
      <c r="I25" s="105">
        <f t="shared" si="11"/>
        <v>1071942</v>
      </c>
      <c r="J25" s="105">
        <f t="shared" si="11"/>
        <v>1101764</v>
      </c>
      <c r="K25" s="105">
        <f t="shared" si="11"/>
        <v>1128700</v>
      </c>
      <c r="L25" s="105">
        <f t="shared" si="11"/>
        <v>1161312</v>
      </c>
      <c r="M25" s="105">
        <f t="shared" si="11"/>
        <v>1197372</v>
      </c>
      <c r="N25" s="105">
        <f t="shared" si="11"/>
        <v>1239284</v>
      </c>
      <c r="O25" s="105">
        <f t="shared" si="11"/>
        <v>1288844</v>
      </c>
      <c r="P25" s="105">
        <f t="shared" si="11"/>
        <v>1447006</v>
      </c>
      <c r="Q25" s="105">
        <f t="shared" si="11"/>
        <v>1605168.0000000002</v>
      </c>
    </row>
    <row r="26" spans="3:19" x14ac:dyDescent="0.3">
      <c r="C26" s="84"/>
      <c r="G26" s="101" t="s">
        <v>105</v>
      </c>
      <c r="H26" s="105">
        <f t="shared" ref="H26:Q26" si="12">H6*H13*H14</f>
        <v>18942</v>
      </c>
      <c r="I26" s="105">
        <f t="shared" si="12"/>
        <v>29822.000000000004</v>
      </c>
      <c r="J26" s="105">
        <f t="shared" si="12"/>
        <v>26936.000000000004</v>
      </c>
      <c r="K26" s="105">
        <f t="shared" si="12"/>
        <v>32612</v>
      </c>
      <c r="L26" s="105">
        <f t="shared" si="12"/>
        <v>36060</v>
      </c>
      <c r="M26" s="105">
        <f t="shared" si="12"/>
        <v>41912</v>
      </c>
      <c r="N26" s="105">
        <f t="shared" si="12"/>
        <v>49560</v>
      </c>
      <c r="O26" s="105">
        <f t="shared" si="12"/>
        <v>158162</v>
      </c>
      <c r="P26" s="105">
        <f t="shared" si="12"/>
        <v>158162</v>
      </c>
      <c r="Q26" s="105">
        <f t="shared" si="12"/>
        <v>153060</v>
      </c>
    </row>
    <row r="27" spans="3:19" x14ac:dyDescent="0.3">
      <c r="C27" s="72"/>
      <c r="G27" s="101" t="s">
        <v>106</v>
      </c>
      <c r="H27" s="105"/>
      <c r="I27" s="105"/>
      <c r="J27" s="105"/>
      <c r="K27" s="105"/>
      <c r="L27" s="105"/>
      <c r="M27" s="105">
        <f>((M25*(1+$F$24)^M13)-M25)+((M26*((1+$F$24)^30)-M26))</f>
        <v>0</v>
      </c>
      <c r="N27" s="105">
        <f>((N25*(1+$F$24)^N13)-N25)+((N26*((1+$F$24)^120)-N26))</f>
        <v>0</v>
      </c>
      <c r="O27" s="105">
        <f t="shared" ref="O27:Q27" si="13">((O25*(1+$F$24)^O13)-O25)+((O26*((1+$F$24)^120)-O26))</f>
        <v>0</v>
      </c>
      <c r="P27" s="105">
        <f t="shared" si="13"/>
        <v>0</v>
      </c>
      <c r="Q27" s="105">
        <f t="shared" si="13"/>
        <v>0</v>
      </c>
    </row>
    <row r="28" spans="3:19" x14ac:dyDescent="0.3">
      <c r="C28" s="72"/>
      <c r="D28" s="72"/>
      <c r="E28" s="80"/>
      <c r="G28" s="101" t="s">
        <v>107</v>
      </c>
      <c r="H28" s="105">
        <f t="shared" ref="H28:Q28" si="14">H25+H26+H27</f>
        <v>1071942</v>
      </c>
      <c r="I28" s="105">
        <f t="shared" si="14"/>
        <v>1101764</v>
      </c>
      <c r="J28" s="105">
        <f t="shared" si="14"/>
        <v>1128700</v>
      </c>
      <c r="K28" s="105">
        <f t="shared" si="14"/>
        <v>1161312</v>
      </c>
      <c r="L28" s="105">
        <f t="shared" si="14"/>
        <v>1197372</v>
      </c>
      <c r="M28" s="105">
        <f t="shared" si="14"/>
        <v>1239284</v>
      </c>
      <c r="N28" s="105">
        <f t="shared" si="14"/>
        <v>1288844</v>
      </c>
      <c r="O28" s="105">
        <f t="shared" si="14"/>
        <v>1447006</v>
      </c>
      <c r="P28" s="105">
        <f t="shared" si="14"/>
        <v>1605168</v>
      </c>
      <c r="Q28" s="105">
        <f t="shared" si="14"/>
        <v>1758228.0000000002</v>
      </c>
    </row>
    <row r="29" spans="3:19" ht="16.2" thickBot="1" x14ac:dyDescent="0.35">
      <c r="C29" s="72"/>
      <c r="D29" s="72"/>
      <c r="E29" s="80"/>
      <c r="G29" s="112" t="s">
        <v>108</v>
      </c>
      <c r="H29" s="113">
        <f>(H28/H24)</f>
        <v>371.04257528556599</v>
      </c>
      <c r="I29" s="113">
        <f t="shared" ref="I29:Q29" si="15">I28/I24</f>
        <v>347.77904040404047</v>
      </c>
      <c r="J29" s="113">
        <f t="shared" si="15"/>
        <v>330.0292397660819</v>
      </c>
      <c r="K29" s="113">
        <f t="shared" si="15"/>
        <v>316.60632497273724</v>
      </c>
      <c r="L29" s="113">
        <f t="shared" si="15"/>
        <v>308.76018566271279</v>
      </c>
      <c r="M29" s="113">
        <f t="shared" si="15"/>
        <v>302.63345543345548</v>
      </c>
      <c r="N29" s="113">
        <f t="shared" si="15"/>
        <v>299.38304297328693</v>
      </c>
      <c r="O29" s="113">
        <f t="shared" si="15"/>
        <v>319.99248120300757</v>
      </c>
      <c r="P29" s="113">
        <f t="shared" si="15"/>
        <v>321.87046320433132</v>
      </c>
      <c r="Q29" s="113">
        <f t="shared" si="15"/>
        <v>293.98364739913393</v>
      </c>
    </row>
    <row r="30" spans="3:19" x14ac:dyDescent="0.3">
      <c r="C30" s="72"/>
      <c r="D30" s="72"/>
      <c r="E30" s="80"/>
      <c r="G30" s="106" t="s">
        <v>1</v>
      </c>
      <c r="H30" s="107">
        <f>H25/H28</f>
        <v>0.98232926781486307</v>
      </c>
      <c r="I30" s="107">
        <f t="shared" ref="I30:Q30" si="16">I25/I28</f>
        <v>0.97293249734062826</v>
      </c>
      <c r="J30" s="107">
        <f t="shared" si="16"/>
        <v>0.97613537698236907</v>
      </c>
      <c r="K30" s="107">
        <f t="shared" si="16"/>
        <v>0.97191796864236313</v>
      </c>
      <c r="L30" s="107">
        <f t="shared" si="16"/>
        <v>0.96988404606087331</v>
      </c>
      <c r="M30" s="107">
        <f t="shared" si="16"/>
        <v>0.9661804719499324</v>
      </c>
      <c r="N30" s="107">
        <f t="shared" si="16"/>
        <v>0.96154693663468971</v>
      </c>
      <c r="O30" s="107">
        <f t="shared" si="16"/>
        <v>0.89069706690919037</v>
      </c>
      <c r="P30" s="107">
        <f t="shared" si="16"/>
        <v>0.90146701155268483</v>
      </c>
      <c r="Q30" s="107">
        <f t="shared" si="16"/>
        <v>0.91294644380592282</v>
      </c>
    </row>
    <row r="31" spans="3:19" x14ac:dyDescent="0.3">
      <c r="D31" s="72"/>
      <c r="E31" s="76"/>
      <c r="G31" s="101" t="s">
        <v>109</v>
      </c>
      <c r="H31" s="86">
        <f>H26/H28</f>
        <v>1.7670732185136883E-2</v>
      </c>
      <c r="I31" s="86">
        <f t="shared" ref="I31:Q31" si="17">I26/I28</f>
        <v>2.7067502659371703E-2</v>
      </c>
      <c r="J31" s="86">
        <f t="shared" si="17"/>
        <v>2.3864623017630905E-2</v>
      </c>
      <c r="K31" s="86">
        <f t="shared" si="17"/>
        <v>2.8082031357636879E-2</v>
      </c>
      <c r="L31" s="86">
        <f t="shared" si="17"/>
        <v>3.0115953939126687E-2</v>
      </c>
      <c r="M31" s="86">
        <f t="shared" si="17"/>
        <v>3.3819528050067618E-2</v>
      </c>
      <c r="N31" s="86">
        <f t="shared" si="17"/>
        <v>3.8453063365310312E-2</v>
      </c>
      <c r="O31" s="86">
        <f t="shared" si="17"/>
        <v>0.10930293309080957</v>
      </c>
      <c r="P31" s="86">
        <f t="shared" si="17"/>
        <v>9.8532988447315173E-2</v>
      </c>
      <c r="Q31" s="86">
        <f t="shared" si="17"/>
        <v>8.7053556194077203E-2</v>
      </c>
      <c r="S31" s="68"/>
    </row>
    <row r="32" spans="3:19" x14ac:dyDescent="0.3">
      <c r="C32" s="77"/>
      <c r="D32" s="80"/>
      <c r="E32" s="80"/>
      <c r="G32" s="101" t="s">
        <v>110</v>
      </c>
      <c r="H32" s="86">
        <f>H27/H28</f>
        <v>0</v>
      </c>
      <c r="I32" s="86">
        <f t="shared" ref="I32:Q32" si="18">I27/I28</f>
        <v>0</v>
      </c>
      <c r="J32" s="86">
        <f t="shared" si="18"/>
        <v>0</v>
      </c>
      <c r="K32" s="86">
        <f t="shared" si="18"/>
        <v>0</v>
      </c>
      <c r="L32" s="86">
        <f t="shared" si="18"/>
        <v>0</v>
      </c>
      <c r="M32" s="86">
        <f t="shared" si="18"/>
        <v>0</v>
      </c>
      <c r="N32" s="86">
        <f t="shared" si="18"/>
        <v>0</v>
      </c>
      <c r="O32" s="86">
        <f t="shared" si="18"/>
        <v>0</v>
      </c>
      <c r="P32" s="86">
        <f t="shared" si="18"/>
        <v>0</v>
      </c>
      <c r="Q32" s="86">
        <f t="shared" si="18"/>
        <v>0</v>
      </c>
      <c r="S32" s="68"/>
    </row>
    <row r="33" spans="3:17" x14ac:dyDescent="0.3">
      <c r="E33" s="80"/>
      <c r="G33" s="101" t="s">
        <v>111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</row>
    <row r="34" spans="3:17" x14ac:dyDescent="0.3">
      <c r="C34" s="59"/>
      <c r="D34" s="72"/>
      <c r="E34" s="72"/>
      <c r="G34" s="101" t="s">
        <v>112</v>
      </c>
      <c r="H34" s="86"/>
      <c r="I34" s="87"/>
      <c r="J34" s="87"/>
      <c r="K34" s="87"/>
      <c r="L34" s="87"/>
      <c r="M34" s="87"/>
      <c r="N34" s="87"/>
      <c r="O34" s="87"/>
      <c r="P34" s="87"/>
      <c r="Q34" s="87"/>
    </row>
    <row r="35" spans="3:17" x14ac:dyDescent="0.3">
      <c r="C35" s="59"/>
      <c r="D35" s="72"/>
      <c r="E35" s="72"/>
      <c r="G35" s="101" t="s">
        <v>113</v>
      </c>
      <c r="H35" s="85">
        <f t="shared" ref="H35:Q35" si="19">H33-(H33*H34)</f>
        <v>0</v>
      </c>
      <c r="I35" s="85">
        <f t="shared" si="19"/>
        <v>0</v>
      </c>
      <c r="J35" s="85">
        <f t="shared" si="19"/>
        <v>0</v>
      </c>
      <c r="K35" s="85">
        <f t="shared" si="19"/>
        <v>0</v>
      </c>
      <c r="L35" s="85">
        <f t="shared" si="19"/>
        <v>0</v>
      </c>
      <c r="M35" s="85">
        <f t="shared" si="19"/>
        <v>0</v>
      </c>
      <c r="N35" s="85">
        <f t="shared" si="19"/>
        <v>0</v>
      </c>
      <c r="O35" s="85">
        <f t="shared" si="19"/>
        <v>0</v>
      </c>
      <c r="P35" s="85">
        <f t="shared" si="19"/>
        <v>0</v>
      </c>
      <c r="Q35" s="85">
        <f t="shared" si="19"/>
        <v>0</v>
      </c>
    </row>
    <row r="36" spans="3:17" x14ac:dyDescent="0.3">
      <c r="C36" s="59"/>
      <c r="D36" s="72"/>
      <c r="E36" s="72"/>
      <c r="G36" s="101" t="s">
        <v>114</v>
      </c>
      <c r="H36" s="85">
        <f>H35-H29</f>
        <v>-371.04257528556599</v>
      </c>
      <c r="I36" s="85">
        <f t="shared" ref="I36:Q36" si="20">I35-I29</f>
        <v>-347.77904040404047</v>
      </c>
      <c r="J36" s="85">
        <f t="shared" si="20"/>
        <v>-330.0292397660819</v>
      </c>
      <c r="K36" s="85">
        <f t="shared" si="20"/>
        <v>-316.60632497273724</v>
      </c>
      <c r="L36" s="85">
        <f t="shared" si="20"/>
        <v>-308.76018566271279</v>
      </c>
      <c r="M36" s="85">
        <f t="shared" si="20"/>
        <v>-302.63345543345548</v>
      </c>
      <c r="N36" s="85">
        <f t="shared" si="20"/>
        <v>-299.38304297328693</v>
      </c>
      <c r="O36" s="85">
        <f t="shared" si="20"/>
        <v>-319.99248120300757</v>
      </c>
      <c r="P36" s="85">
        <f t="shared" si="20"/>
        <v>-321.87046320433132</v>
      </c>
      <c r="Q36" s="85">
        <f t="shared" si="20"/>
        <v>-293.98364739913393</v>
      </c>
    </row>
    <row r="37" spans="3:17" x14ac:dyDescent="0.3">
      <c r="C37" s="59"/>
      <c r="D37" s="72"/>
      <c r="E37" s="72"/>
      <c r="G37" s="101" t="s">
        <v>115</v>
      </c>
      <c r="H37" s="108">
        <f>(H24*H35)</f>
        <v>0</v>
      </c>
      <c r="I37" s="108">
        <f t="shared" ref="I37:Q37" si="21">(I24*I35)</f>
        <v>0</v>
      </c>
      <c r="J37" s="108">
        <f t="shared" si="21"/>
        <v>0</v>
      </c>
      <c r="K37" s="108">
        <f t="shared" si="21"/>
        <v>0</v>
      </c>
      <c r="L37" s="108">
        <f t="shared" si="21"/>
        <v>0</v>
      </c>
      <c r="M37" s="108">
        <f t="shared" si="21"/>
        <v>0</v>
      </c>
      <c r="N37" s="108">
        <f t="shared" si="21"/>
        <v>0</v>
      </c>
      <c r="O37" s="108">
        <f t="shared" si="21"/>
        <v>0</v>
      </c>
      <c r="P37" s="108">
        <f t="shared" si="21"/>
        <v>0</v>
      </c>
      <c r="Q37" s="108">
        <f t="shared" si="21"/>
        <v>0</v>
      </c>
    </row>
    <row r="38" spans="3:17" x14ac:dyDescent="0.3">
      <c r="C38" s="59"/>
      <c r="D38" s="72"/>
      <c r="E38" s="72"/>
      <c r="G38" s="101" t="s">
        <v>116</v>
      </c>
      <c r="H38" s="108">
        <f>H37-H28</f>
        <v>-1071942</v>
      </c>
      <c r="I38" s="108">
        <f t="shared" ref="I38:Q38" si="22">I37-I28</f>
        <v>-1101764</v>
      </c>
      <c r="J38" s="108">
        <f t="shared" si="22"/>
        <v>-1128700</v>
      </c>
      <c r="K38" s="108">
        <f t="shared" si="22"/>
        <v>-1161312</v>
      </c>
      <c r="L38" s="108">
        <f t="shared" si="22"/>
        <v>-1197372</v>
      </c>
      <c r="M38" s="108">
        <f t="shared" si="22"/>
        <v>-1239284</v>
      </c>
      <c r="N38" s="108">
        <f t="shared" si="22"/>
        <v>-1288844</v>
      </c>
      <c r="O38" s="108">
        <f t="shared" si="22"/>
        <v>-1447006</v>
      </c>
      <c r="P38" s="108">
        <f t="shared" si="22"/>
        <v>-1605168</v>
      </c>
      <c r="Q38" s="108">
        <f t="shared" si="22"/>
        <v>-1758228.0000000002</v>
      </c>
    </row>
    <row r="39" spans="3:17" x14ac:dyDescent="0.3">
      <c r="C39" s="59"/>
      <c r="D39" s="72"/>
      <c r="E39" s="72"/>
      <c r="G39" s="101" t="s">
        <v>117</v>
      </c>
      <c r="H39" s="108">
        <f t="shared" ref="H39:Q39" si="23">H38/(H6-(H6*H23))</f>
        <v>-3573.14</v>
      </c>
      <c r="I39" s="108">
        <f t="shared" si="23"/>
        <v>-3672.5466666666666</v>
      </c>
      <c r="J39" s="108">
        <f t="shared" si="23"/>
        <v>-3762.3333333333335</v>
      </c>
      <c r="K39" s="108">
        <f t="shared" si="23"/>
        <v>-3871.04</v>
      </c>
      <c r="L39" s="108">
        <f t="shared" si="23"/>
        <v>-3991.24</v>
      </c>
      <c r="M39" s="108">
        <f t="shared" si="23"/>
        <v>-4130.9466666666667</v>
      </c>
      <c r="N39" s="108">
        <f t="shared" si="23"/>
        <v>-4296.1466666666665</v>
      </c>
      <c r="O39" s="108">
        <f t="shared" si="23"/>
        <v>-4823.3533333333335</v>
      </c>
      <c r="P39" s="108">
        <f t="shared" si="23"/>
        <v>-5350.56</v>
      </c>
      <c r="Q39" s="108">
        <f t="shared" si="23"/>
        <v>-5860.7600000000011</v>
      </c>
    </row>
    <row r="40" spans="3:17" ht="15" customHeight="1" x14ac:dyDescent="0.3">
      <c r="C40" s="59"/>
      <c r="D40" s="72"/>
      <c r="E40" s="72"/>
      <c r="F40" s="88"/>
      <c r="G40" s="101" t="s">
        <v>118</v>
      </c>
      <c r="H40" s="86">
        <f>H38/H28</f>
        <v>-1</v>
      </c>
      <c r="I40" s="86">
        <f t="shared" ref="I40:Q40" si="24">I38/I28</f>
        <v>-1</v>
      </c>
      <c r="J40" s="86">
        <f t="shared" si="24"/>
        <v>-1</v>
      </c>
      <c r="K40" s="86">
        <f t="shared" si="24"/>
        <v>-1</v>
      </c>
      <c r="L40" s="86">
        <f t="shared" si="24"/>
        <v>-1</v>
      </c>
      <c r="M40" s="86">
        <f t="shared" si="24"/>
        <v>-1</v>
      </c>
      <c r="N40" s="86">
        <f t="shared" si="24"/>
        <v>-1</v>
      </c>
      <c r="O40" s="86">
        <f t="shared" si="24"/>
        <v>-1</v>
      </c>
      <c r="P40" s="86">
        <f t="shared" si="24"/>
        <v>-1</v>
      </c>
      <c r="Q40" s="86">
        <f t="shared" si="24"/>
        <v>-1</v>
      </c>
    </row>
    <row r="41" spans="3:17" x14ac:dyDescent="0.3">
      <c r="C41" s="59"/>
      <c r="D41" s="72"/>
      <c r="E41" s="72"/>
      <c r="G41" s="101" t="s">
        <v>119</v>
      </c>
      <c r="H41" s="86">
        <f>((1+H40)^(1/(H13/30)))-1</f>
        <v>-1</v>
      </c>
      <c r="I41" s="86">
        <f t="shared" ref="I41:Q41" si="25">((1+I40)^(1/(I13/30)))-1</f>
        <v>-1</v>
      </c>
      <c r="J41" s="86">
        <f t="shared" si="25"/>
        <v>-1</v>
      </c>
      <c r="K41" s="86">
        <f t="shared" si="25"/>
        <v>-1</v>
      </c>
      <c r="L41" s="86">
        <f t="shared" si="25"/>
        <v>-1</v>
      </c>
      <c r="M41" s="86">
        <f t="shared" si="25"/>
        <v>-1</v>
      </c>
      <c r="N41" s="86">
        <f t="shared" si="25"/>
        <v>-1</v>
      </c>
      <c r="O41" s="86">
        <f t="shared" si="25"/>
        <v>-1</v>
      </c>
      <c r="P41" s="86">
        <f t="shared" si="25"/>
        <v>-1</v>
      </c>
      <c r="Q41" s="86">
        <f t="shared" si="25"/>
        <v>-1</v>
      </c>
    </row>
    <row r="42" spans="3:17" ht="15" thickBot="1" x14ac:dyDescent="0.35">
      <c r="C42" s="59"/>
      <c r="D42" s="72"/>
      <c r="E42" s="72"/>
      <c r="G42" s="109" t="s">
        <v>120</v>
      </c>
      <c r="H42" s="110">
        <f>((1+H41)^12)-1</f>
        <v>-1</v>
      </c>
      <c r="I42" s="110">
        <f t="shared" ref="I42:Q42" si="26">((1+I41)^12)-1</f>
        <v>-1</v>
      </c>
      <c r="J42" s="110">
        <f t="shared" si="26"/>
        <v>-1</v>
      </c>
      <c r="K42" s="110">
        <f t="shared" si="26"/>
        <v>-1</v>
      </c>
      <c r="L42" s="110">
        <f t="shared" si="26"/>
        <v>-1</v>
      </c>
      <c r="M42" s="110">
        <f t="shared" si="26"/>
        <v>-1</v>
      </c>
      <c r="N42" s="110">
        <f t="shared" si="26"/>
        <v>-1</v>
      </c>
      <c r="O42" s="110">
        <f t="shared" si="26"/>
        <v>-1</v>
      </c>
      <c r="P42" s="110">
        <f t="shared" si="26"/>
        <v>-1</v>
      </c>
      <c r="Q42" s="110">
        <f t="shared" si="26"/>
        <v>-1</v>
      </c>
    </row>
    <row r="43" spans="3:17" x14ac:dyDescent="0.3">
      <c r="C43" s="59"/>
      <c r="D43" s="72"/>
    </row>
    <row r="44" spans="3:17" x14ac:dyDescent="0.3">
      <c r="C44" s="59"/>
      <c r="D44" s="89"/>
      <c r="E44" s="89"/>
    </row>
    <row r="45" spans="3:17" x14ac:dyDescent="0.3">
      <c r="C45" s="59"/>
      <c r="D45" s="82"/>
      <c r="F45" s="90"/>
      <c r="G45" s="91"/>
      <c r="H45" s="94"/>
      <c r="I45" s="94"/>
      <c r="J45" s="94"/>
      <c r="K45" s="91"/>
      <c r="L45" s="94"/>
      <c r="M45" s="94"/>
      <c r="N45" s="94"/>
      <c r="O45" s="94"/>
      <c r="P45" s="97"/>
    </row>
    <row r="46" spans="3:17" x14ac:dyDescent="0.3">
      <c r="C46" s="59"/>
      <c r="D46" s="80"/>
      <c r="F46" s="90"/>
      <c r="G46" s="91"/>
      <c r="H46" s="94"/>
      <c r="I46" s="94"/>
      <c r="J46" s="94"/>
      <c r="K46" s="91"/>
      <c r="L46" s="94"/>
      <c r="M46" s="92"/>
      <c r="N46" s="94"/>
      <c r="O46" s="94"/>
      <c r="P46" s="97"/>
    </row>
    <row r="47" spans="3:17" x14ac:dyDescent="0.3">
      <c r="C47" s="59"/>
      <c r="D47" s="75"/>
      <c r="F47" s="90"/>
      <c r="G47" s="91"/>
      <c r="H47" s="94"/>
      <c r="I47" s="94"/>
      <c r="J47" s="75"/>
      <c r="K47" s="91"/>
      <c r="L47" s="94"/>
      <c r="M47" s="94"/>
      <c r="N47" s="94"/>
      <c r="O47" s="94"/>
      <c r="P47" s="97"/>
    </row>
    <row r="48" spans="3:17" x14ac:dyDescent="0.3">
      <c r="F48" s="90"/>
      <c r="G48" s="91"/>
      <c r="H48" s="94"/>
      <c r="I48" s="94"/>
      <c r="J48" s="75"/>
      <c r="K48" s="91"/>
      <c r="L48" s="94"/>
      <c r="M48" s="94"/>
      <c r="N48" s="94"/>
      <c r="O48" s="94"/>
      <c r="P48" s="97"/>
    </row>
    <row r="49" spans="6:16" x14ac:dyDescent="0.3">
      <c r="F49" s="90"/>
      <c r="G49" s="91"/>
      <c r="H49" s="94"/>
      <c r="I49" s="94"/>
      <c r="J49" s="75"/>
      <c r="K49" s="91"/>
      <c r="L49" s="94"/>
      <c r="M49" s="94"/>
      <c r="N49" s="94"/>
      <c r="O49" s="94"/>
      <c r="P49" s="97"/>
    </row>
    <row r="50" spans="6:16" x14ac:dyDescent="0.3">
      <c r="G50" s="91"/>
      <c r="H50" s="94"/>
      <c r="I50" s="94"/>
      <c r="J50" s="94"/>
      <c r="K50" s="91"/>
      <c r="L50" s="94"/>
      <c r="M50" s="94"/>
      <c r="N50" s="94"/>
      <c r="O50" s="94"/>
    </row>
    <row r="51" spans="6:16" x14ac:dyDescent="0.3">
      <c r="H51" s="91"/>
      <c r="I51" s="82"/>
      <c r="J51" s="82"/>
      <c r="K51" s="91"/>
      <c r="L51" s="94"/>
      <c r="M51" s="94"/>
      <c r="N51" s="94"/>
      <c r="O51" s="94"/>
    </row>
    <row r="52" spans="6:16" x14ac:dyDescent="0.3">
      <c r="H52" s="97"/>
      <c r="I52" s="96"/>
      <c r="J52" s="96"/>
      <c r="K52" s="91"/>
      <c r="L52" s="92"/>
      <c r="M52" s="94"/>
      <c r="N52" s="94"/>
      <c r="O52" s="94"/>
    </row>
    <row r="53" spans="6:16" x14ac:dyDescent="0.3">
      <c r="H53" s="97"/>
      <c r="I53" s="82"/>
      <c r="J53" s="82"/>
      <c r="K53" s="91"/>
      <c r="L53" s="75"/>
      <c r="M53" s="94"/>
      <c r="N53" s="94"/>
      <c r="O53" s="94"/>
    </row>
    <row r="54" spans="6:16" x14ac:dyDescent="0.3">
      <c r="H54" s="97"/>
      <c r="K54" s="91"/>
      <c r="L54" s="75"/>
      <c r="M54" s="94"/>
      <c r="N54" s="94"/>
      <c r="O54" s="94"/>
    </row>
    <row r="55" spans="6:16" x14ac:dyDescent="0.3">
      <c r="K55" s="91"/>
      <c r="L55" s="75"/>
      <c r="M55" s="94"/>
      <c r="N55" s="94"/>
      <c r="O55" s="94"/>
    </row>
    <row r="56" spans="6:16" x14ac:dyDescent="0.3">
      <c r="H56" s="96"/>
      <c r="K56" s="91"/>
      <c r="L56" s="94"/>
      <c r="M56" s="94"/>
      <c r="N56" s="94"/>
      <c r="O56" s="94"/>
    </row>
    <row r="57" spans="6:16" x14ac:dyDescent="0.3">
      <c r="H57" s="93"/>
      <c r="K57" s="91"/>
      <c r="L57" s="94"/>
      <c r="M57" s="94"/>
      <c r="N57" s="94"/>
      <c r="O57" s="94"/>
    </row>
    <row r="58" spans="6:16" x14ac:dyDescent="0.3">
      <c r="H58" s="96"/>
      <c r="K58" s="91"/>
      <c r="L58" s="94"/>
      <c r="M58" s="94"/>
      <c r="N58" s="94"/>
      <c r="O58" s="94"/>
    </row>
    <row r="59" spans="6:16" x14ac:dyDescent="0.3">
      <c r="H59" s="75"/>
      <c r="K59" s="91"/>
      <c r="L59" s="94"/>
      <c r="M59" s="94"/>
      <c r="N59" s="94"/>
      <c r="O59" s="94"/>
    </row>
    <row r="60" spans="6:16" x14ac:dyDescent="0.3">
      <c r="K60" s="91"/>
      <c r="L60" s="94"/>
      <c r="M60" s="94"/>
      <c r="N60" s="94"/>
      <c r="O60" s="94"/>
    </row>
    <row r="61" spans="6:16" x14ac:dyDescent="0.3">
      <c r="K61" s="91"/>
      <c r="L61" s="94"/>
      <c r="M61" s="94"/>
      <c r="N61" s="94"/>
      <c r="O61" s="94"/>
    </row>
    <row r="62" spans="6:16" x14ac:dyDescent="0.3">
      <c r="K62" s="91"/>
      <c r="L62" s="94"/>
      <c r="M62" s="94"/>
      <c r="N62" s="94"/>
      <c r="O62" s="94"/>
    </row>
    <row r="63" spans="6:16" x14ac:dyDescent="0.3">
      <c r="K63" s="91"/>
      <c r="L63" s="94"/>
      <c r="M63" s="94"/>
      <c r="N63" s="94"/>
      <c r="O63" s="94"/>
    </row>
    <row r="64" spans="6:16" x14ac:dyDescent="0.3">
      <c r="L64" s="94"/>
      <c r="M64" s="94"/>
      <c r="N64" s="94"/>
      <c r="O64" s="94"/>
    </row>
    <row r="65" spans="12:16" x14ac:dyDescent="0.3">
      <c r="L65" s="94"/>
      <c r="M65" s="94"/>
      <c r="N65" s="94"/>
      <c r="O65" s="94"/>
    </row>
    <row r="66" spans="12:16" x14ac:dyDescent="0.3">
      <c r="L66" s="94"/>
      <c r="M66" s="94"/>
      <c r="N66" s="94"/>
      <c r="O66" s="94"/>
    </row>
    <row r="67" spans="12:16" x14ac:dyDescent="0.3">
      <c r="L67" s="94"/>
      <c r="M67" s="94"/>
      <c r="N67" s="94"/>
      <c r="O67" s="94"/>
      <c r="P67" s="97"/>
    </row>
    <row r="68" spans="12:16" x14ac:dyDescent="0.3">
      <c r="L68" s="97"/>
      <c r="M68" s="97"/>
      <c r="N68" s="97"/>
      <c r="O68" s="97"/>
    </row>
    <row r="69" spans="12:16" x14ac:dyDescent="0.3">
      <c r="O69" s="97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2CE4-616F-47F4-8225-B4C4FC192E2D}">
  <dimension ref="G2:I59"/>
  <sheetViews>
    <sheetView topLeftCell="A6" workbookViewId="0">
      <selection activeCell="H24" sqref="H24"/>
    </sheetView>
  </sheetViews>
  <sheetFormatPr defaultRowHeight="14.4" x14ac:dyDescent="0.3"/>
  <cols>
    <col min="1" max="6" width="8.88671875" style="1"/>
    <col min="7" max="7" width="17.21875" style="1" bestFit="1" customWidth="1"/>
    <col min="8" max="9" width="15.77734375" style="1" customWidth="1"/>
    <col min="10" max="16384" width="8.88671875" style="1"/>
  </cols>
  <sheetData>
    <row r="2" spans="7:9" ht="15" thickBot="1" x14ac:dyDescent="0.35"/>
    <row r="3" spans="7:9" x14ac:dyDescent="0.3">
      <c r="G3" s="155" t="s">
        <v>65</v>
      </c>
      <c r="H3" s="156"/>
      <c r="I3" s="157"/>
    </row>
    <row r="4" spans="7:9" x14ac:dyDescent="0.3">
      <c r="G4" s="126" t="s">
        <v>66</v>
      </c>
      <c r="H4" s="128">
        <f>SUM(Fluxo!K15:U15)</f>
        <v>55000</v>
      </c>
      <c r="I4" s="129">
        <f>H4/$H$17</f>
        <v>8.3056478405315617E-2</v>
      </c>
    </row>
    <row r="5" spans="7:9" x14ac:dyDescent="0.3">
      <c r="G5" s="126" t="s">
        <v>132</v>
      </c>
      <c r="H5" s="128">
        <f>SUM(Fluxo!K16:U16)</f>
        <v>55000</v>
      </c>
      <c r="I5" s="129">
        <f t="shared" ref="I5:I16" si="0">H5/$H$17</f>
        <v>8.3056478405315617E-2</v>
      </c>
    </row>
    <row r="6" spans="7:9" x14ac:dyDescent="0.3">
      <c r="G6" s="126" t="s">
        <v>67</v>
      </c>
      <c r="H6" s="128">
        <f>SUM(Fluxo!K17:U17)</f>
        <v>220000</v>
      </c>
      <c r="I6" s="129">
        <f t="shared" si="0"/>
        <v>0.33222591362126247</v>
      </c>
    </row>
    <row r="7" spans="7:9" x14ac:dyDescent="0.3">
      <c r="G7" s="126" t="s">
        <v>68</v>
      </c>
      <c r="H7" s="128">
        <f>SUM(Fluxo!K18:U18)</f>
        <v>33000</v>
      </c>
      <c r="I7" s="129">
        <f t="shared" si="0"/>
        <v>4.9833887043189369E-2</v>
      </c>
    </row>
    <row r="8" spans="7:9" x14ac:dyDescent="0.3">
      <c r="G8" s="126" t="s">
        <v>69</v>
      </c>
      <c r="H8" s="128">
        <f>SUM(Fluxo!K19:U19)</f>
        <v>22000</v>
      </c>
      <c r="I8" s="129">
        <f t="shared" si="0"/>
        <v>3.3222591362126248E-2</v>
      </c>
    </row>
    <row r="9" spans="7:9" x14ac:dyDescent="0.3">
      <c r="G9" s="126" t="s">
        <v>70</v>
      </c>
      <c r="H9" s="128">
        <f>SUM(Fluxo!K20:U20)</f>
        <v>165000</v>
      </c>
      <c r="I9" s="129">
        <f t="shared" si="0"/>
        <v>0.24916943521594684</v>
      </c>
    </row>
    <row r="10" spans="7:9" x14ac:dyDescent="0.3">
      <c r="G10" s="126" t="s">
        <v>71</v>
      </c>
      <c r="H10" s="128">
        <f>SUM(Fluxo!K21:U21)</f>
        <v>55000</v>
      </c>
      <c r="I10" s="129">
        <f t="shared" si="0"/>
        <v>8.3056478405315617E-2</v>
      </c>
    </row>
    <row r="11" spans="7:9" x14ac:dyDescent="0.3">
      <c r="G11" s="126" t="s">
        <v>72</v>
      </c>
      <c r="H11" s="128">
        <f>SUM(Fluxo!K22:U22)</f>
        <v>11000</v>
      </c>
      <c r="I11" s="129">
        <f t="shared" si="0"/>
        <v>1.6611295681063124E-2</v>
      </c>
    </row>
    <row r="12" spans="7:9" x14ac:dyDescent="0.3">
      <c r="G12" s="126" t="s">
        <v>73</v>
      </c>
      <c r="H12" s="128">
        <f>SUM(Fluxo!K23:U23)</f>
        <v>22000</v>
      </c>
      <c r="I12" s="129">
        <f t="shared" si="0"/>
        <v>3.3222591362126248E-2</v>
      </c>
    </row>
    <row r="13" spans="7:9" x14ac:dyDescent="0.3">
      <c r="G13" s="126" t="s">
        <v>74</v>
      </c>
      <c r="H13" s="128">
        <f>SUM(Fluxo!K24:U24)</f>
        <v>5500</v>
      </c>
      <c r="I13" s="129">
        <f t="shared" si="0"/>
        <v>8.3056478405315621E-3</v>
      </c>
    </row>
    <row r="14" spans="7:9" x14ac:dyDescent="0.3">
      <c r="G14" s="126" t="s">
        <v>75</v>
      </c>
      <c r="H14" s="128">
        <f>SUM(Fluxo!K25:U25)</f>
        <v>5500</v>
      </c>
      <c r="I14" s="129">
        <f t="shared" si="0"/>
        <v>8.3056478405315621E-3</v>
      </c>
    </row>
    <row r="15" spans="7:9" x14ac:dyDescent="0.3">
      <c r="G15" s="126" t="s">
        <v>76</v>
      </c>
      <c r="H15" s="128">
        <f>SUM(Fluxo!K26:U26)</f>
        <v>2200</v>
      </c>
      <c r="I15" s="129">
        <f t="shared" si="0"/>
        <v>3.3222591362126247E-3</v>
      </c>
    </row>
    <row r="16" spans="7:9" ht="15" thickBot="1" x14ac:dyDescent="0.35">
      <c r="G16" s="127" t="s">
        <v>83</v>
      </c>
      <c r="H16" s="130">
        <f>SUM(Fluxo!K27:U27)</f>
        <v>11000</v>
      </c>
      <c r="I16" s="131">
        <f t="shared" si="0"/>
        <v>1.6611295681063124E-2</v>
      </c>
    </row>
    <row r="17" spans="7:9" ht="15" thickBot="1" x14ac:dyDescent="0.35">
      <c r="H17" s="37">
        <f>SUM(H4:H16)</f>
        <v>662200</v>
      </c>
    </row>
    <row r="26" spans="7:9" ht="15" thickBot="1" x14ac:dyDescent="0.35"/>
    <row r="27" spans="7:9" x14ac:dyDescent="0.3">
      <c r="G27" s="155" t="s">
        <v>77</v>
      </c>
      <c r="H27" s="156"/>
      <c r="I27" s="157"/>
    </row>
    <row r="28" spans="7:9" x14ac:dyDescent="0.3">
      <c r="G28" s="132" t="s">
        <v>140</v>
      </c>
      <c r="H28" s="128">
        <f>SUM(Fluxo!K29:U29)</f>
        <v>1859450</v>
      </c>
      <c r="I28" s="129">
        <f>H28/$H$32</f>
        <v>0.90458625401051529</v>
      </c>
    </row>
    <row r="29" spans="7:9" x14ac:dyDescent="0.3">
      <c r="G29" s="126" t="s">
        <v>86</v>
      </c>
      <c r="H29" s="128">
        <f>SUM(Fluxo!K30:U30)</f>
        <v>18594.5</v>
      </c>
      <c r="I29" s="129">
        <f t="shared" ref="I29:I31" si="1">H29/$H$32</f>
        <v>9.0458625401051533E-3</v>
      </c>
    </row>
    <row r="30" spans="7:9" x14ac:dyDescent="0.3">
      <c r="G30" s="126" t="s">
        <v>79</v>
      </c>
      <c r="H30" s="128">
        <f>SUM(Fluxo!K31:U31)</f>
        <v>71014.459999999992</v>
      </c>
      <c r="I30" s="129">
        <f t="shared" si="1"/>
        <v>3.4547153379751845E-2</v>
      </c>
    </row>
    <row r="31" spans="7:9" ht="15" thickBot="1" x14ac:dyDescent="0.35">
      <c r="G31" s="31" t="s">
        <v>80</v>
      </c>
      <c r="H31" s="130">
        <f>SUM(Fluxo!K32:U32)</f>
        <v>106521.68999999997</v>
      </c>
      <c r="I31" s="131">
        <f t="shared" si="1"/>
        <v>5.1820730069627764E-2</v>
      </c>
    </row>
    <row r="32" spans="7:9" ht="15" thickBot="1" x14ac:dyDescent="0.35">
      <c r="H32" s="37">
        <f>SUM(H28:H31)</f>
        <v>2055580.65</v>
      </c>
    </row>
    <row r="54" spans="7:8" x14ac:dyDescent="0.3">
      <c r="G54" s="1" t="s">
        <v>54</v>
      </c>
      <c r="H54" s="32">
        <f>SUM(Fluxo!J5:U5)</f>
        <v>3227000</v>
      </c>
    </row>
    <row r="55" spans="7:8" x14ac:dyDescent="0.3">
      <c r="G55" s="1" t="s">
        <v>55</v>
      </c>
      <c r="H55" s="32">
        <f>Fluxo!K4</f>
        <v>0</v>
      </c>
    </row>
    <row r="56" spans="7:8" x14ac:dyDescent="0.3">
      <c r="G56" s="1" t="s">
        <v>65</v>
      </c>
      <c r="H56" s="32">
        <f>SUM(Fluxo!K14:U14)</f>
        <v>662200</v>
      </c>
    </row>
    <row r="57" spans="7:8" x14ac:dyDescent="0.3">
      <c r="G57" s="1" t="s">
        <v>77</v>
      </c>
      <c r="H57" s="32">
        <f>SUM(Fluxo!K28:U28)</f>
        <v>2055580.65</v>
      </c>
    </row>
    <row r="58" spans="7:8" x14ac:dyDescent="0.3">
      <c r="G58" s="1" t="s">
        <v>141</v>
      </c>
      <c r="H58" s="32">
        <f>SUM(Fluxo!K6:U6)</f>
        <v>7101445.9999999981</v>
      </c>
    </row>
    <row r="59" spans="7:8" x14ac:dyDescent="0.3">
      <c r="G59" s="1" t="s">
        <v>142</v>
      </c>
      <c r="H59" s="32">
        <f>H58-(H54+H56+H57)</f>
        <v>1156665.3499999978</v>
      </c>
    </row>
  </sheetData>
  <mergeCells count="2">
    <mergeCell ref="G3:I3"/>
    <mergeCell ref="G27:I2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Dados Básicos</vt:lpstr>
      <vt:lpstr>Dados de Prod</vt:lpstr>
      <vt:lpstr>Dados de Faturamento</vt:lpstr>
      <vt:lpstr>Fluxo</vt:lpstr>
      <vt:lpstr>PE LOTE 1</vt:lpstr>
      <vt:lpstr>PE GLOBAL</vt:lpstr>
      <vt:lpstr>Produção</vt:lpstr>
      <vt:lpstr>PE LOTE 2</vt:lpstr>
      <vt:lpstr>PE LOTE 3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Bianchini de Castro</dc:creator>
  <cp:lastModifiedBy>Leandro Bianchini de Castro</cp:lastModifiedBy>
  <dcterms:created xsi:type="dcterms:W3CDTF">2025-11-24T13:55:44Z</dcterms:created>
  <dcterms:modified xsi:type="dcterms:W3CDTF">2026-01-07T07:24:47Z</dcterms:modified>
</cp:coreProperties>
</file>